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<sst xmlns="http://schemas.openxmlformats.org/spreadsheetml/2006/main" count="2141" uniqueCount="1214">
  <si>
    <t>CATEGORIE</t>
  </si>
  <si>
    <t>NAME</t>
  </si>
  <si>
    <t>Description</t>
  </si>
  <si>
    <t>Contact Number</t>
  </si>
  <si>
    <t>Short Form</t>
  </si>
  <si>
    <t>Established</t>
  </si>
  <si>
    <t>Address</t>
  </si>
  <si>
    <t>Email Address</t>
  </si>
  <si>
    <t>Website</t>
  </si>
  <si>
    <t>Admission Website</t>
  </si>
  <si>
    <t>Total Seats</t>
  </si>
  <si>
    <t>Science / Eng. Seats</t>
  </si>
  <si>
    <t>Arts / Hum. Seats</t>
  </si>
  <si>
    <t>Business Seats</t>
  </si>
  <si>
    <t>CATEGORIE MAIN</t>
  </si>
  <si>
    <t>1.Individual Admission</t>
  </si>
  <si>
    <t>National University</t>
  </si>
  <si>
    <t>National University বাংলাদেশের একটি বিশেষ ধরনের সরকারি বিশ্ববিদ্যালয়, কারণ এটি সাধারণ আবাসিক বা একক ক্যাম্পাসভিত্তিক বিশ্ববিদ্যালয়ের মতো নয়; বরং এটি একটি affiliating university, অর্থাৎ সারা দেশের বিপুল সংখ্যক কলেজ ও পেশাভিত্তিক শিক্ষা প্রতিষ্ঠানকে একাডেমিকভাবে তত্ত্বাবধান করে। ১৯৯২ সালে আইনের মাধ্যমে প্রতিষ্ঠিত এই বিশ্ববিদ্যালয়ের প্রধান কার্যালয় গাজীপুরে, এবং এর মূল উদ্দেশ্য ছিল দেশের বিস্তীর্ণ অঞ্চলে উচ্চশিক্ষার সুযোগকে আরও গণমুখী ও বিস্তৃত করা। বাংলাদেশের বহু শিক্ষার্থী যারা ঢাকার বা অন্য বড় শহরের আবাসিক পাবলিক বিশ্ববিদ্যালয়ে ভর্তি হওয়ার সুযোগ পায় না, তাদের জন্য National University উচ্চশিক্ষার প্রধান সেতু হিসেবে কাজ করে। বিশ্ববিদ্যালয়টির অধীনে অনার্স, ডিগ্রি, মাস্টার্স, প্রফেশনাল কোর্স, পোস্ট গ্র্যাজুয়েট ডিপ্লোমা, এমফিল এবং পিএইচডি পর্যায়ের শিক্ষা পরিচালিত হয়, আর একাডেমিক কাঠামোতে কলা, সামাজিক বিজ্ঞান, বিজ্ঞান, ব্যবসায় শিক্ষা এবং লাইফ অ্যান্ড আর্থ সায়েন্সের মতো বিস্তৃত শাখা অন্তর্ভুক্ত। এর অধিভুক্ত কলেজগুলোতে বাংলা, ইংরেজি, ইতিহাস, দর্শন, অর্থনীতি, রাষ্ট্রবিজ্ঞান, সমাজবিজ্ঞান, হিসাববিজ্ঞান, ব্যবস্থাপনা, বিপণন, গণিত, পদার্থবিজ্ঞান, রসায়ন, কম্পিউটার বিজ্ঞানসহ নানা বিষয়ে পড়াশোনার সুযোগ রয়েছে। National University-এর শক্তি শুধু এর বিস্তৃত কাঠামোতে নয়, বরং এর প্রশাসনিক রূপান্তরেও; সাম্প্রতিক বছরগুলোতে অনলাইন ফরম পূরণ, ফলাফল প্রকাশ, ভর্তি-সংক্রান্ত সেবা, নোটিশ, একাডেমিক ক্যালেন্ডার এবং কলেজভিত্তিক ব্যবস্থাপনাকে অনেক বেশি ডিজিটাল করা হয়েছে। এর ফলে দেশের প্রত্যন্ত অঞ্চলের শিক্ষার্থীরাও কেন্দ্রীয় প্রশাসনের সঙ্গে তুলনামূলক সহজে যুক্ত হতে পারছে। যদিও এই বিশ্ববিদ্যালয়ের একাডেমিক অভিজ্ঞতা অনেকটা কলেজনির্ভর, তবু এর মাধ্যমে লক্ষ লক্ষ শিক্ষার্থী বিশ্ববিদ্যালয় পর্যায়ের ডিগ্রি অর্জন করে শিক্ষা, ব্যাংকিং, প্রশাসন, কর্পোরেট চাকরি, উদ্যোক্তা উদ্যোগ এবং সরকারি-বেসরকারি বহু খাতে নিজেদের প্রতিষ্ঠিত করছে। গবেষণার ক্ষেত্রে এটি ঐতিহ্যগত গবেষণা-নিবিড় আবাসিক বিশ্ববিদ্যালয়গুলোর তুলনায় আলাদা, কিন্তু Journal, প্রশিক্ষণ, শিক্ষক উন্নয়ন, skill-based PGD program এবং মুক্তিযুদ্ধ ও বাংলাদেশ বিষয়ক ইনস্টিটিউটের মতো উদ্যোগ দেখায় যে এটি ধীরে ধীরে জ্ঞানচর্চার ক্ষেত্রও প্রসারিত করছে। ছাত্রজীবনের অভিজ্ঞতা এখানে কলেজভেদে ভিন্ন হলেও বিতর্ক, সাংস্কৃতিক অনুষ্ঠান, ক্রীড়া, স্বেচ্ছাসেবী সংগঠন, উদযাপনমূলক দিবস এবং স্থানীয় নেতৃত্ব বিকাশের সুযোগ থাকে। National University-এর সবচেয়ে বড় বাস্তব শক্তি হলো accessibility: কম খরচে, নিজ জেলা বা নিকটবর্তী শহরে থেকে, পরিবার ও আর্থিক বাস্তবতা সামলে উচ্চশিক্ষা চালিয়ে যাওয়া সম্ভব হয়। যে শিক্ষার্থী বিশ্ববিদ্যালয় ডিগ্রি অর্জন করতে চায় কিন্তু স্থান, ব্যয় বা প্রতিযোগিতাজনিত সীমাবদ্ধতার কারণে অন্য বিকল্পে যেতে পারছে না, তার জন্য National University একটি অত্যন্ত কার্যকর, বাস্তবসম্মত এবং জাতীয় পরিসরে প্রভাবশালী সিদ্ধান্ত হতে পারে।</t>
  </si>
  <si>
    <t>NU</t>
  </si>
  <si>
    <t>Board Bazar, Gazipur-1704, Bangladesh</t>
  </si>
  <si>
    <t>registrar@nu.ac.bd</t>
  </si>
  <si>
    <t>http://www.nu.ac.bd</t>
  </si>
  <si>
    <t>http://www.nu.ac.bd/admissions</t>
  </si>
  <si>
    <t>400000*</t>
  </si>
  <si>
    <t>100000*</t>
  </si>
  <si>
    <t>200000*</t>
  </si>
  <si>
    <t>Individual Admission</t>
  </si>
  <si>
    <t xml:space="preserve">University of Dhaka </t>
  </si>
  <si>
    <t>University of Dhaka বাংলাদেশের উচ্চশিক্ষা, বুদ্ধিবৃত্তিক নেতৃত্ব, গণতান্ত্রিক চেতনা এবং জাতীয় ইতিহাসের কেন্দ্রীয় নাম, যা ১৯২১ সালের ১ জুলাই যাত্রা শুরু করে এবং অল্প সময়ের মধ্যে পূর্ব বাংলার সবচেয়ে গুরুত্বপূর্ণ বিশ্ববিদ্যালয়ে পরিণত হয়। প্রতিষ্ঠার শুরুতে মাত্র তিনটি অনুষদ, বারোটি বিভাগ, ষাটজন শিক্ষক, ৮৭৭ জন শিক্ষার্থী এবং তিনটি হল নিয়ে শুরু হলেও আজ এটি একটি বিশাল গবেষণাভিত্তিক বিশ্ববিদ্যালয়, যেখানে ১৩টি ফ্যাকাল্টি, ৮৩টি বিভাগ, ১২টি ইনস্টিটিউট, ২০টি আবাসিক হল, ৩টি হোস্টেল এবং ৫৬টির বেশি গবেষণা কেন্দ্র রয়েছে। ঢাকা শহরের শাহবাগ, নীলক্ষেত, ফুলার রোড, টিএসসি এবং আশপাশজুড়ে বিস্তৃত এর ক্যাম্পাস একদিকে ঐতিহাসিক, অন্যদিকে প্রাণবন্ত নগর-একাডেমিক সংস্কৃতির এক অনন্য মিলনস্থল। কলা, বিজ্ঞান, আইন, ব্যবসায় শিক্ষা, সামাজিক বিজ্ঞান, জীববিজ্ঞান, ফার্মেসি, আর্থ অ্যান্ড এনভায়রনমেন্টাল সায়েন্সেস, ফাইন আর্ট, ইঞ্জিনিয়ারিং অ্যান্ড টেকনোলজি, শিক্ষা ও চিকিৎসাবিজ্ঞানসহ বহু শাখায় এখানে স্নাতক, স্নাতকোত্তর, এমফিল এবং পিএইচডি শিক্ষা চালু আছে। ইংরেজি, অর্থনীতি, আন্তর্জাতিক সম্পর্ক, কম্পিউটার সায়েন্স, আইন, ফার্মেসি, মাইক্রোবায়োলজি, ডেভেলপমেন্ট স্টাডিজ, গণযোগাযোগ, ফাইন্যান্স, মার্কেটিং, চারুকলা এবং বিভিন্ন বিজ্ঞানভিত্তিক বিভাগ বিশেষভাবে জনপ্রিয়। এই বিশ্ববিদ্যালয়ের অনন্য মর্যাদা তৈরি হয়েছে শুধু একাডেমিক সাফল্যে নয়, বরং ভাষা আন্দোলন, ঊনসত্তরের গণঅভ্যুত্থান এবং ১৯৭১ সালের মুক্তিযুদ্ধসহ বাংলাদেশের প্রায় সব বড় ঐতিহাসিক পর্বে এর শিক্ষক-শিক্ষার্থীদের গুরুত্বপূর্ণ অবদানের কারণে। গবেষণার ক্ষেত্রে University of Dhaka বাংলাদেশের সবচেয়ে শক্তিশালী প্ল্যাটফর্মগুলোর একটি; এখানে গবেষণা কেন্দ্র, বিশ্ববিদ্যালয় জার্নাল, প্রকাশনা, গবেষণা সহযোগিতা, funded project এবং academic network বিদ্যমান। কেন্দ্রীয় গ্রন্থাগার, বিভাগীয় লাইব্রেরি, ল্যাবরেটরি, সেমিনার রুম, জাদুঘর, আর্ট স্টুডিও, আইসিটি সুবিধা এবং আবাসিক হল মিলিয়ে এক সমৃদ্ধ শিক্ষাবান্ধব পরিবেশ তৈরি হয়েছে। ছাত্রজীবন এখানে বহুমাত্রিক—টিএসসি-কেন্দ্রিক সাংস্কৃতিক জীবন, বিতর্ক, নাটক, সংগীত, সাংবাদিকতা, ফটোগ্রাফি, ক্রীড়া, স্বেচ্ছাসেবী কাজ, রাজনীতি এবং ক্লাব কার্যক্রম শিক্ষার্থীদের ব্যক্তিত্ব গঠনে বড় ভূমিকা রাখে। আন্তর্জাতিক সহযোগিতা, গবেষণা নেটওয়ার্ক, বিদেশি বিশ্ববিদ্যালয়ের সঙ্গে একাডেমিক সংযোগ এবং global scholarship readiness-ও এই বিশ্ববিদ্যালয়ের গুরুত্বপূর্ণ শক্তি। বাংলাদেশের রাষ্ট্রপতি, প্রধানমন্ত্রী, প্রধান বিচারপতি, মন্ত্রী, অর্থনীতিবিদ, বিজ্ঞানী, সাহিত্যিক, সাংবাদিক ও কর্পোরেট নেতাদের বিশাল অংশ এই বিশ্ববিদ্যালয়ের অ্যালামনাই। যে শিক্ষার্থী একদিকে শক্তিশালী একাডেমিক ভিত্তি, অন্যদিকে ইতিহাস, সংস্কৃতি, নেতৃত্ব, বৈচিত্র্য এবং সামাজিক প্রভাবের সমন্বয়ে নিজেকে গড়ে তুলতে চায়, তার জন্য University of Dhaka শুধু একটি বিশ্ববিদ্যালয় নয়, বরং একটি পূর্ণাঙ্গ বৌদ্ধিক ও নাগরিক অভিজ্ঞতা।</t>
  </si>
  <si>
    <t>DU</t>
  </si>
  <si>
    <t>Ramna, Dhaka-1000, Bangladesh</t>
  </si>
  <si>
    <t>registrar@du.ac.bd</t>
  </si>
  <si>
    <t>www.du.ac.bd</t>
  </si>
  <si>
    <t>admission.eis.du.ac.bd</t>
  </si>
  <si>
    <t>University of Dhaka (IBA)</t>
  </si>
  <si>
    <t>University of Dhaka (IBA), অর্থাৎ Institute of Business Administration, University of Dhaka, বাংলাদেশের ব্যবসায় শিক্ষা জগতের সবচেয়ে মর্যাদাপূর্ণ ও প্রতিযোগিতামূলক প্রতিষ্ঠানগুলোর একটি, যার যাত্রা শুরু ১৯৬৬ সালে Indiana University, Bloomington এবং Ford Foundation-এর সহযোগিতায়। প্রতিষ্ঠার মূল লক্ষ্য ছিল এমন একদল পেশাদার ব্যবসায়িক নেতা তৈরি করা, যারা বাংলাদেশের অর্থনীতি, কর্পোরেট প্রশাসন, উদ্যোক্তা বিকাশ এবং নীতি-নির্ধারণী কাঠামোকে আধুনিক ও দক্ষভাবে এগিয়ে নিতে পারবে। IBA ঢাকা বিশ্ববিদ্যালয়ের অংশ হলেও এর নিজস্ব একাডেমিক সংস্কৃতি, কঠোর ভর্তি প্রক্রিয়া, কেস-ভিত্তিক শিক্ষাদান, কর্পোরেট যোগাযোগ এবং পেশাভিত্তিক প্রস্তুতির জন্য এটি আলাদা পরিচয় পেয়েছে। শুরুতে MBA-কেন্দ্রিক প্রতিষ্ঠান হিসেবে পরিচিত হলেও বর্তমানে BBA, MBA, Executive MBA, DBA-সদৃশ উন্নত গবেষণা, MPhil ও PhD-সহ একাধিক প্রোগ্রাম পরিচালিত হয়। এর পাঠ্যক্রমে accounting, finance, marketing, operations, organizational behavior, strategy, business communication, entrepreneurship, HRM এবং data-informed managerial decision making-এর ওপর বিশেষ গুরুত্ব দেওয়া হয়। IBA-র একাডেমিক পরিবেশে শুধু বইভিত্তিক শিক্ষা নয়, বরং presentation, case analysis, teamwork, business simulation, club activity, corporate competition এবং leadership development সমান গুরুত্ব পায়। ঢাকার মূল নগরভিত্তিক অবস্থান শিক্ষার্থীদের জন্য ব্যাংক, বহুজাতিক কোম্পানি, consulting firm, startup ecosystem, development organization এবং সরকারি নীতিনির্ধারণী ক্ষেত্রের সঙ্গে সরাসরি সংযোগের সুযোগ তৈরি করে। লাইব্রেরি, কম্পিউটার ল্যাব, স্মার্ট ক্লাসরুম, গবেষণা ও একাডেমিক সাপোর্ট সুবিধা শিক্ষার্থীদের আধুনিক business education-এর জন্য উপযোগী পরিবেশ দেয়। IBA-র সবচেয়ে বড় শক্তি হলো এর alumni network—বাংলাদেশের শীর্ষস্থানীয় ব্যাংকার, কর্পোরেট নির্বাহী, উদ্যোক্তা, সরকারি কর্মকর্তা, বিশ্ববিদ্যালয় শিক্ষক এবং উন্নয়ন খাতের নেতৃত্বে IBA-র অসংখ্য গ্র্যাজুয়েট রয়েছেন। ছাত্রজীবনও এখানে খুব সক্রিয়; business club, debating society, communication club, competition team এবং বিভিন্ন student-led event শিক্ষার্থীদের পেশাদারিত্ব ও আত্মবিশ্বাস গড়ে তোলে। আন্তর্জাতিক মানসম্পন্ন শিক্ষা কাঠামো, ইংরেজিভিত্তিক একাডেমিক যোগাযোগ, কঠোর মেধা যাচাই এবং চাকরির বাজারে শক্তিশালী গ্রহণযোগ্যতার কারণে IBA-তে পড়া মানে শুধু একটি ডিগ্রি অর্জন নয়, বরং একটি দীর্ঘমেয়াদি পেশাগত পরিচয় গড়ে তোলা। যে শিক্ষার্থী business, management, entrepreneurship অথবা leadership-এর জগতে নিজেদের উচ্চমানের প্রস্তুতি দিতে চায়, তার জন্য University of Dhaka (IBA) বাংলাদেশের সেরা সিদ্ধান্তগুলোর একটি।</t>
  </si>
  <si>
    <t>IBA-DU</t>
  </si>
  <si>
    <t>Ramna, Dhaka-1000</t>
  </si>
  <si>
    <t>bba@iba-du.edu</t>
  </si>
  <si>
    <t>www.iba-du.edu</t>
  </si>
  <si>
    <t>N/A</t>
  </si>
  <si>
    <t>University of Rajshahi</t>
  </si>
  <si>
    <t>University of Rajshahi বাংলাদেশের উত্তরাঞ্চলের সবচেয়ে গুরুত্বপূর্ণ এবং ঐতিহ্যবাহী পাবলিক বিশ্ববিদ্যালয়গুলোর একটি, যার আনুষ্ঠানিক প্রতিষ্ঠা ১৯৫৩ সালে এবং একাডেমিক কার্যক্রম শুরু হয় ১৯৫৪ সালে। প্রথম দিকে রাজশাহী সরকারি কলেজে ক্লাস নিলেও পরবর্তীতে এটি রাজশাহীর মতিহারে নিজস্ব বিস্তৃত ক্যাম্পাসে স্থানান্তরিত হয়, যা এখন দেশের অন্যতম বৃহৎ সবুজ বিশ্ববিদ্যালয় ক্যাম্পাস হিসেবে পরিচিত। প্রায় ৭৫৩ একর জায়গাজুড়ে বিস্তৃত এই ক্যাম্পাস একদিকে প্রশান্ত, অন্যদিকে গবেষণা ও একাডেমিক চর্চার জন্য অনুকূল পরিবেশ সৃষ্টি করেছে। University of Rajshahi বর্তমানে ১২টি ফ্যাকাল্টি ও ৬টি ইনস্টিটিউট নিয়ে গড়ে উঠেছে, এবং কলা, আইন, বিজ্ঞান, ব্যবসায় শিক্ষা, সামাজিক বিজ্ঞান, কৃষি, প্রকৌশল, ফাইন আর্টস, জীববিজ্ঞান, ভূবিজ্ঞান, মৎস্য এবং ভেটেরিনারি অ্যান্ড অ্যানিম্যাল সায়েন্সেসসহ বিস্তৃত শাখায় শিক্ষা প্রদান করে। ইংরেজি, অর্থনীতি, গণযোগাযোগ, মার্কেটিং, ফাইন্যান্স, সিএসই, ইইই, জেনেটিক ইঞ্জিনিয়ারিং, মাইক্রোবায়োলজি, জিওলজি, ফিশারিজ, ল’ এবং অ্যাপ্লাইড সায়েন্সভিত্তিক নানা বিভাগ শিক্ষার্থীদের কাছে বিশেষভাবে আকর্ষণীয়। এর শক্তিশালী বিভাগীয় কাঠামো শিক্ষার্থীদের জন্য স্নাতক, স্নাতকোত্তর, এমফিল, পিএইচডি এবং special course-এর সুযোগ তৈরি করে। বিশ্ববিদ্যালয়টির কেন্দ্রীয় গ্রন্থাগার, আইসিটি সেবা, গবেষণাগার, student insurance, international affairs office এবং academic facilities এটিকে একটি পূর্ণাঙ্গ আধুনিক বিশ্ববিদ্যালয়ে পরিণত করেছে। গবেষণার ক্ষেত্রে রাজশাহী বিশ্ববিদ্যালয় উত্তরবঙ্গের সামাজিক, কৃষি, পরিবেশগত, মানবিক ও প্রযুক্তিগত সমস্যা নিয়ে গুরুত্বপূর্ণ কাজ করে থাকে, এবং এখানকার শিক্ষকগণ দেশি-বিদেশি জার্নালে নিয়মিত গবেষণা প্রকাশ করেন। ক্যাম্পাসজীবনও খুব সমৃদ্ধ—আবাসিক হল, সাংস্কৃতিক সংগঠন, নাটক, সংগীত, বিতর্ক, সাহিত্যচর্চা, ক্রীড়া, সামাজিক উদ্যোগ এবং ছাত্র-নেতৃত্বাধীন নানা কার্যক্রম শিক্ষার্থীদের বহুমাত্রিক অভিজ্ঞতা দেয়। আন্তর্জাতিক যোগাযোগ ও alumni network বিশ্ববিদ্যালয়টির পরিচিতিকে আরও শক্তিশালী করেছে। বিচারপতি, শিক্ষক, প্রশাসক, বিজ্ঞানী, রাজনীতিক, সাহিত্যিক এবং অসংখ্য পেশাজীবী এই বিশ্ববিদ্যালয় থেকে বেরিয়ে দেশের বিভিন্ন স্তরে অবদান রাখছেন। যে শিক্ষার্থী প্রশস্ত সবুজ ক্যাম্পাস, শক্তিশালী বিভাগীয় বৈচিত্র্য, গবেষণাভিত্তিক পরিবেশ এবং তুলনামূলকভাবে প্রশান্ত কিন্তু সমৃদ্ধ বিশ্ববিদ্যালয়জীবন চায়, তার জন্য University of Rajshahi খুবই শক্তিশালী এবং দীর্ঘমেয়াদি মূল্যবান একটি পছন্দ।</t>
  </si>
  <si>
    <t>RU</t>
  </si>
  <si>
    <t>Motihar, Rajshahi-6205, Bangladesh</t>
  </si>
  <si>
    <t>registrar@ru.ac.bd</t>
  </si>
  <si>
    <t>https://www.ru.ac.bd</t>
  </si>
  <si>
    <t>https://admission.ru.ac.bd</t>
  </si>
  <si>
    <t>University of Chittagong</t>
  </si>
  <si>
    <t>University of Chittagong বাংলাদেশের দক্ষিণ-পূর্বাঞ্চলের অন্যতম গুরুত্বপূর্ণ পাবলিক বিশ্ববিদ্যালয়, যার যাত্রা শুরু ১৮ নভেম্বর ১৯৬৬ সালে এবং যা চট্টগ্রাম শহর থেকে প্রায় ২২ কিলোমিটার দূরে হাটহাজারীর ফতেপুর মৌজায় ২৩১২ একর পাহাড়ি ও প্রাকৃতিক সৌন্দর্যমণ্ডিত ভূমিতে অবস্থিত। এর প্রতিষ্ঠার আগে আঞ্চলিক উচ্চশিক্ষার দাবিকে কেন্দ্র করে Chittagong University Movement Council-এর ভূমিকা ছিল অত্যন্ত গুরুত্বপূর্ণ, ফলে বিশ্ববিদ্যালয়টি শুধু একটি শিক্ষা প্রতিষ্ঠান নয়, বরং চট্টগ্রাম অঞ্চলের দীর্ঘদিনের জনআকাঙ্ক্ষার প্রতিফলন। বিশাল সবুজ ক্যাম্পাস, পাহাড়ি উঁচুনিচু ভূপ্রকৃতি, দূষণমুক্ত পরিবেশ এবং আবাসিক জীবন এ বিশ্ববিদ্যালয়কে বাংলাদেশের সবচেয়ে নান্দনিক বিশ্ববিদ্যালয়গুলোর একটি করে তুলেছে। বর্তমানে এখানে Arts and Humanities, Science, Social Sciences, Business Administration, Law, Biological Sciences এবং Marine Science and Fisheries-সহ একাধিক ফ্যাকাল্টির অধীনে অসংখ্য বিভাগ ও ইনস্টিটিউট রয়েছে। বাংলা, ইংরেজি, ইতিহাস, অর্থনীতি, সিএসই, ফলিত রসায়ন, সমুদ্রবিজ্ঞান, ফিশারিজ, আইন, ব্যবসায় প্রশাসন, সমাজবিজ্ঞান, যোগাযোগ ও সাংবাদিকতা, গণিত ও বিভিন্ন প্রাকৃতিক বিজ্ঞানের বিভাগ শিক্ষার্থীদের কাছে বিশেষভাবে আকর্ষণীয়। একাডেমিক কাঠামোর পাশাপাশি বিশ্ববিদ্যালয়ের Research Cell ও Research and Publication Cell শিক্ষক-গবেষকদের প্রকল্প বাছাই, peer review, funding এবং scholarly publication-এর মাধ্যমে গবেষণাকে প্রাতিষ্ঠানিকভাবে শক্তিশালী করে। কেন্দ্রীয় গ্রন্থাগারটি বিশেষভাবে উল্লেখযোগ্য; এখানে main collection-এর পাশাপাশি accessible e-learning center, remote access to e-resources এবং শারীরিকভাবে প্রতিবন্ধী শিক্ষার্থীদের জন্য বিশেষ সুবিধা রয়েছে। ছাত্রজীবনে হলভিত্তিক সংস্কৃতি, সাংস্কৃতিক অনুষ্ঠান, ক্রীড়া, স্বেচ্ছাসেবী কার্যক্রম, বিতর্ক, সংগীত, নাটক এবং আঞ্চলিক বৈচিত্র্যের এক প্রাণবন্ত মেলবন্ধন দেখা যায়। চট্টগ্রাম বাংলাদেশের প্রধান সমুদ্রবন্দর, শিল্প ও বাণিজ্যকেন্দ্র হওয়ায় শিক্ষার্থীরা logistics, trade, maritime studies, NGO, media, corporate sector এবং সরকারি চাকরির নানা সুযোগের কাছাকাছি থাকে। বিস্তৃত ক্যাম্পাসজীবন, আঞ্চলিক ও জাতীয় গুরুত্ব, গবেষণা সহায়ক পরিবেশ এবং প্রাকৃতিক সৌন্দর্যের সমন্বয়ে University of Chittagong এমন এক বিশ্ববিদ্যালয় যেখানে পড়া একজন শিক্ষার্থীর জন্য শুধু ডিগ্রি নয়, বরং একটি গভীর জীবন-অভিজ্ঞতা এবং ভবিষ্যৎ গঠনের শক্ত ভিত হতে পারে।</t>
  </si>
  <si>
    <t>CU</t>
  </si>
  <si>
    <t>Hathazari, Chattogram-4331, Bangladesh</t>
  </si>
  <si>
    <t>admission@cu.ac.bd</t>
  </si>
  <si>
    <t>https://cu.ac.bd</t>
  </si>
  <si>
    <t>https://admission.cu.ac.bd</t>
  </si>
  <si>
    <t>Khulna University</t>
  </si>
  <si>
    <t>Khulna University বাংলাদেশের দক্ষিণ-পশ্চিমাঞ্চলের একটি দ্রুত বিকাশমান পাবলিক বিশ্ববিদ্যালয়, যা Khulna University Act 1990-এর অধীনে প্রতিষ্ঠিত হয়ে ১৯৯১ সালে মাত্র চারটি discipline এবং ৮০ জন শিক্ষার্থী নিয়ে একাডেমিক যাত্রা শুরু করে। বর্তমানে এটি খুলনার গল্লামারীতে ময়ূর নদীর তীরে একটি সুপরিকল্পিত, শান্ত ও শিক্ষাবান্ধব ক্যাম্পাসে গড়ে ওঠা বহুমাত্রিক উচ্চশিক্ষা প্রতিষ্ঠান। Khulna University-এর বিশেষত্ব হলো এটি শুরু থেকেই course-credit এবং semester system-নির্ভর আধুনিক একাডেমিক কাঠামো অনুসরণ করেছে, যা বাংলাদেশে পাবলিক বিশ্ববিদ্যালয়গুলোর মধ্যে একসময় উল্লেখযোগ্য বৈপ্লবিক বৈশিষ্ট্য ছিল। এর undergraduate ordinance অনুযায়ী পাঠ্যক্রমে general education course, core course, elective course এবং capstone/thesis/project/internship-এর মতো কাঠামো অন্তর্ভুক্ত, ফলে শিক্ষার্থীরা বিষয়ভিত্তিক জ্ঞানের পাশাপাশি বহুমাত্রিক প্রয়োগক্ষমতা অর্জন করতে পারে। বিশ্ববিদ্যালয়টি school ও discipline-ভিত্তিক কাঠামোয় পরিচালিত হয়; বিজ্ঞান, প্রকৌশল, প্রযুক্তি, স্থাপত্য, পরিকল্পনা, পরিবেশ, বনবিদ্যা, ব্যবসায় প্রশাসন, মানবিক ও সামাজিক বিজ্ঞান, শিক্ষা এবং অন্যান্য আন্তঃবিষয়ক শাখায় এখানে শিক্ষা দেওয়া হয়। Architecture, Urban and Rural Planning, Forestry, Environmental Science, Biotechnology, Pharmacy, CSE, ECE, Management, Development Studies, Law, English এবং Education-এর মতো discipline বিশেষভাবে উল্লেখযোগ্য। Education Discipline-এর মতো নবীন বিভাগও modern professional orientation নিয়ে চালু হয়েছে, আর English Discipline-এর মতো বিভাগ undergraduate, postgraduate ও PhD স্তরে শিক্ষা দিচ্ছে। বিশ্ববিদ্যালয়টির গবেষণার ক্ষেত্র আঞ্চলিক বাস্তবতার সঙ্গে গভীরভাবে সম্পর্কযুক্ত—সুন্দরবন, উপকূলীয় পরিবেশ, জলবায়ু পরিবর্তন, দুর্যোগ, নগর পরিকল্পনা, প্রাকৃতিক সম্পদ ব্যবস্থাপনা এবং টেকসই উন্নয়নভিত্তিক নানা বিষয় এখানে গবেষণার উপযোগী। লাইব্রেরি, ল্যাবরেটরি, discipline-specific studio ও workshop, গবেষণা সুবিধা এবং অপেক্ষাকৃত সুসংগঠিত একাডেমিক ক্যালেন্ডার এর বড় শক্তি। ছাত্রজীবনে সাংস্কৃতিক কার্যক্রম, ক্লাব, উৎসব, ক্রীড়া, সামাজিক উদ্যোগ ও বহুমাত্রিক বৌদ্ধিক পরিসর রয়েছে, যদিও পরিবেশটি তুলনামূলকভাবে শান্ত ও কম ভিড়পূর্ণ। খুলনা অঞ্চলের শিল্প, বন্দর, পরিবেশ ও উন্নয়ন প্রকল্পের সঙ্গে বাস্তব যোগসূত্র থাকায় internship, research collaboration এবং পেশাগত দক্ষতা অর্জনের ক্ষেত্রও প্রসারিত। যে শিক্ষার্থী নিয়মিত একাডেমিক সেশন, আধুনিক course structure, গবেষণামুখী শিক্ষা এবং আঞ্চলিক বাস্তবতার সঙ্গে যুক্ত প্রয়োগমুখী জ্ঞানচর্চা চায়, তার জন্য Khulna University একটি অত্যন্ত সুপরিকল্পিত ও ভবিষ্যতমুখী সিদ্ধান্ত।</t>
  </si>
  <si>
    <t>KU</t>
  </si>
  <si>
    <t>Gollamari, Khulna-9208, Bangladesh</t>
  </si>
  <si>
    <t>registrar@ku.ac.bd</t>
  </si>
  <si>
    <t>www.ku.ac.bd</t>
  </si>
  <si>
    <t>admission.ku.ac.bd</t>
  </si>
  <si>
    <t>Jahangirnagar University</t>
  </si>
  <si>
    <t>Jahangirnagar University বাংলাদেশের সবচেয়ে স্বতন্ত্র পাবলিক বিশ্ববিদ্যালয়গুলোর একটি, কারণ এটি দেশের একমাত্র পূর্ণাঙ্গ আবাসিক পাবলিক বিশ্ববিদ্যালয় হিসেবে দীর্ঘদিন ধরে পরিচিত। ১৯৭০ সালে প্রতিষ্ঠিত এবং ঢাকার অদূরে সাভারে অবস্থিত এই বিশ্ববিদ্যালয় তার প্রাকৃতিক সৌন্দর্য, লেক, বৃক্ষরাজি, বিস্তৃত সবুজ প্রান্তর, পাখির আবাসস্থল এবং হলকেন্দ্রিক শিক্ষার্থীজীবনের জন্য বিশেষভাবে বিখ্যাত। জাহাঙ্গীরনগর শুধু একটি শিক্ষাঙ্গন নয়, বরং এক ধরনের আবাসিক বৌদ্ধিক-সাংস্কৃতিক কমিউনিটি, যেখানে শ্রেণিকক্ষ, হল, মাঠ, টিলা, কফিশপ, নাট্যমঞ্চ এবং উৎসব—সবকিছু মিলিয়ে একটি পূর্ণাঙ্গ বিশ্ববিদ্যালয়জীবন গড়ে ওঠে। বর্তমান একাডেমিক কাঠামোতে Faculty of Arts &amp; Humanities, Mathematical &amp; Physical Sciences, Social Sciences, Biological Sciences, Business Studies এবং Law-এর অধীনে বহু বিভাগ রয়েছে; পাশাপাশি Institute of Business Administration, Institute of Information Technology, Institute of Comparative Literature and Culture এবং Institute of Remote Sensing and GIS-এর মতো বিশেষায়িত ইনস্টিটিউটও রয়েছে। আন্তর্জাতিক সম্পর্ক, ইংরেজি, ইতিহাস, প্রত্নতত্ত্ব, সাংবাদিকতা ও মিডিয়া স্টাডিজ, সিএসই, পরিসংখ্যান ও উপাত্তবিজ্ঞান, পরিবেশবিজ্ঞান, ভূতাত্ত্বিক বিজ্ঞান, অর্থনীতি, নগর ও আঞ্চলিক পরিকল্পনা, নৃবিজ্ঞান, সরকার ও রাজনীতি, বায়োটেকনোলজি, ফার্মেসি, মাইক্রোবায়োলজি, পাবলিক হেলথ অ্যান্ড ইনফরমেটিকস, ফাইন্যান্স, মার্কেটিং, আইন ও বিচার—এসব বিভাগ বিশ্ববিদ্যালয়টির একাডেমিক শক্তির পরিচয় বহন করে। গবেষণার ক্ষেত্রেও এটি সক্রিয়; বিশ্ববিদ্যালয় জার্নাল, গবেষণা কেন্দ্র, international conference, geospatial training, research innovation center এবং faculty-led academic publication এর প্রাণবন্ত প্রমাণ। Wazed Miah Science Research Center, University Library, Science Workshop, ICT Cell, Students Counselling and Guidance Centre, Medical Centre এবং Teacher-Student Centre-এর মতো সুবিধা শিক্ষার্থীজীবনকে আরও পরিপূর্ণ করে। এখানে ছাত্রজীবনের সবচেয়ে বড় সম্পদ হলো এর আবাসিক সংস্কৃতি—হলভিত্তিক বন্ধুত্ব, সাংস্কৃতিক উৎসব, নাটক, গান, কবিতা, বিতর্ক, ক্রীড়া, পাখি দেখা, বইমেলা, ক্যাম্পাস রাজনীতি এবং সমসাময়িক সামাজিক ইস্যু নিয়ে সক্রিয় আলোচনা শিক্ষার্থীদের গভীরভাবে প্রভাবিত করে। ঢাকার কাছাকাছি অবস্থান থাকায় internship, media exposure, policy engagement এবং corporate connection-এর সুযোগও তুলনামূলকভাবে ভালো। একদিকে বৈচিত্র্যময় বিভাগীয় শিক্ষা, অন্যদিকে নান্দনিক আবাসিক জীবন—এই দুইয়ের মিলনে Jahangirnagar University এমন একটি জায়গা, যেখানে একজন শিক্ষার্থী কেবল বিষয়ভিত্তিক জ্ঞান নয়, বরং সামাজিক বোধ, সাংস্কৃতিক রুচি, স্বাধীন চিন্তা এবং আত্মপরিচয়ের একটি পরিণত রূপ তৈরি করতে পারে।</t>
  </si>
  <si>
    <t>JU</t>
  </si>
  <si>
    <t>Savar, Dhaka-1342, Bangladesh</t>
  </si>
  <si>
    <t>registrar@juniv.edu</t>
  </si>
  <si>
    <t>www.juniv.edu</t>
  </si>
  <si>
    <t>ju-admission.org</t>
  </si>
  <si>
    <t>Jagannath University</t>
  </si>
  <si>
    <t>Jagannath University ঢাকার দক্ষিণাংশে বুড়িগঙ্গার নিকটে অবস্থিত একটি সরকারি অর্থায়িত পাবলিক বিশ্ববিদ্যালয়, যার আনুষ্ঠানিক বিশ্ববিদ্যালয়জীবন শুরু ২০০৫ সালে, তবে এর ঐতিহাসিক শিকড় আরও অনেক গভীরে, ১৮৫৮ সালের Dhaka Brahma School পর্যন্ত প্রসারিত। ১৮৭২ সালে জমিদার কিশোরীলাল চৌধুরী তার পিতার নামানুসারে এই প্রতিষ্ঠানের নাম Jagannath School রাখেন, পরবর্তীতে এটি Jagannath College হিসেবে দীর্ঘ সময় ধরে উচ্চশিক্ষা প্রদান করে, আর শেষে পূর্ণাঙ্গ বিশ্ববিদ্যালয়ে উন্নীত হয়। এই দীর্ঘ ঐতিহ্যের কারণে Jagannath University একদিকে পুরান ঢাকার ঐতিহাসিক শিক্ষা-পরম্পরা বহন করে, অন্যদিকে সমসাময়িক পাবলিক বিশ্ববিদ্যালয়ের আধুনিক চরিত্রও ধারণ করে। অফিসিয়াল তথ্য অনুযায়ী এটি ঢাকার দক্ষিণাংশে অবস্থিত এবং tradition ও innovation-এর সংযোগস্থল হিসেবে নিজেকে উপস্থাপন করে। বর্তমানে এখানে Faculty of Arts, Social Science, Business Studies, Science, Life and Earth Science, Law, Fine Arts-এর মতো একাধিক ফ্যাকাল্টি ও Institute of Education and Research, Institute of Modern Languages-এর মতো একাডেমিক ইউনিট রয়েছে। বিভিন্ন বিভাগীয় পেজ ও faculty resource system-এ দেখা যায় যে ইসলামের ইতিহাস ও সংস্কৃতি, গণিত, ফাইন্যান্স, ম্যানেজমেন্ট স্টাডিজসহ নানা বিভাগে undergraduate ও postgraduate program, publication, research এবং একাডেমিক calendar সক্রিয়ভাবে পরিচালিত হয়। রাজধানীকেন্দ্রিক অবস্থানের কারণে বিশ্ববিদ্যালয়টির বড় শক্তি হলো এর নগরসংযোগ—আদালত, প্রশাসনিক দপ্তর, গণমাধ্যম, প্রকাশনা প্রতিষ্ঠান, ব্যাংক, কর্পোরেট অফিস, সাংস্কৃতিক কেন্দ্র এবং শিক্ষার্থীদের জন্য সম্ভাব্য internship ও career opportunity-এর নৈকট্য। যদিও এটি ঐতিহ্যগত আবাসিক বিশ্ববিদ্যালয়ের মতো বিস্তৃত সবুজ ক্যাম্পাসভিত্তিক নয়, তবু এর urban academic experience আলাদা মূল্য বহন করে। ছাত্রজীবনে সাংস্কৃতিক অনুষ্ঠান, বিশ্ববিদ্যালয় দিবস, বিভাগীয় সেমিনার, ক্লাব, বিতর্ক, সাহিত্যচর্চা, সামাজিক কর্মসূচি এবং বিষয়ভিত্তিক একাডেমিক সম্পৃক্ততা গুরুত্বপূর্ণ ভূমিকা রাখে। নতুন প্রজন্মের দক্ষ, প্রযুক্তি-সচেতন এবং নগরবাস্তবতায় অভ্যস্ত শিক্ষার্থী তৈরি করতে Jagannath University ক্রমশ গুরুত্বপূর্ণ হয়ে উঠছে। যেসব শিক্ষার্থী ঢাকায় থেকেই পাবলিক বিশ্ববিদ্যালয়ের শিক্ষা নিতে চায়, আবার একই সঙ্গে ঐতিহ্য, কেন্দ্রীয় শহুরে অবস্থান, নেটওয়ার্কিং সুযোগ এবং বহুমুখী বিভাগের সুবিধা পেতে চায়, তাদের জন্য Jagannath University একটি শক্তিশালী ও কৌশলগতভাবে উপযোগী পছন্দ।</t>
  </si>
  <si>
    <t>JnU</t>
  </si>
  <si>
    <t>9-10, Chittaranjan Avenue, Dhaka-1100</t>
  </si>
  <si>
    <t>info@jnu.ac.bd</t>
  </si>
  <si>
    <t>www.jnu.ac.bd</t>
  </si>
  <si>
    <t>admission.jnu.ac.bd</t>
  </si>
  <si>
    <t>2.Science &amp; Technology</t>
  </si>
  <si>
    <t>Bangladesh University of Engineering and Technology</t>
  </si>
  <si>
    <t>Bangladesh University of Engineering and Technology, সংক্ষেপে BUET, বাংলাদেশের প্রকৌশল, স্থাপত্য, পরিকল্পনা ও প্রয়োগমূলক বিজ্ঞানের সবচেয়ে মর্যাদাপূর্ণ এবং ঐতিহাসিক বিশ্ববিদ্যালয়গুলোর একটি। এর শিকড় ঔপনিবেশিক আমলের Dhaka Survey School পর্যন্ত পৌঁছে যায়, যা ১৮৭৬ সালে প্রতিষ্ঠিত হয়েছিল; পরে এটি Ahsanullah School of Engineering এবং Ahsanullah Engineering College হয়ে ধাপে ধাপে পূর্ণাঙ্গ প্রযুক্তি বিশ্ববিদ্যালয়ে রূপ নেয়। এই দীর্ঘ বিবর্তনের ফল হিসেবে BUET আজ দেশের সবচেয়ে পুরোনো প্রকৌশলভিত্তিক উচ্চশিক্ষা প্রতিষ্ঠান হিসেবে স্বীকৃত। ঢাকার হৃদয়ে অবস্থিত এর ক্যাম্পাসের অবস্থান শিক্ষার্থীদের জন্য একদিকে কেন্দ্রীয় প্রশাসনিক ও কর্পোরেট বিশ্বের কাছাকাছি থাকার সুযোগ তৈরি করে, অন্যদিকে একাডেমিকভাবে অত্যন্ত প্রতিযোগিতামূলক, শৃঙ্খলাবদ্ধ এবং উচ্চমানসম্পন্ন পরিবেশ গড়ে তোলে। বিশ্ববিদ্যালয়টির একাডেমিক কাঠামোতে পাঁচটি প্রধান ফ্যাকাল্টির অধীনে বিভিন্ন বিভাগ পরিচালিত হয় এবং সাম্প্রতিক তথ্য অনুযায়ী এখানে ১৮টি বিভাগে প্রকৌশল, স্থাপত্য, পরিকল্পনা ও বিজ্ঞানভিত্তিক ডিগ্রি প্রদান করা হয়। Civil Engineering, Electrical and Electronic Engineering, Computer Science and Engineering, Mechanical Engineering, Architecture, Urban and Regional Planning, Chemical Engineering, Water Resources Engineering, Biomedical Engineering, Materials and Metallurgical Engineering, Naval Architecture and Marine Engineering, Industrial and Production Engineering, Nuclear Engineering এবং বিভিন্ন মৌলিক বিজ্ঞানভিত্তিক বিভাগ বিশেষভাবে উল্লেখযোগ্য। BUET-এর শিক্ষার্থীরা কঠোর ভর্তি পরীক্ষার মাধ্যমে নির্বাচিত হয়, ফলে এখানে দেশের সবচেয়ে মেধাবী শিক্ষার্থীদের একটি শক্তিশালী সমাবেশ তৈরি হয়। একাডেমিক জীবন অত্যন্ত demanding হলেও এরই মধ্যে রয়েছে বিশ্বমানের ল্যাবরেটরি, গবেষণা সুবিধা, বিভাগীয় সেমিনার, প্রযুক্তিভিত্তিক student competition, design project, thesis work এবং postgraduate research culture। BUET-এর বিভিন্ন গবেষণা কার্যক্রম জ্বালানি, অবকাঠামো, পরিবেশ, নগর উন্নয়ন, নির্মাণ প্রযুক্তি, তথ্যপ্রযুক্তি, স্বাস্থ্যপ্রযুক্তি এবং জলসম্পদ ব্যবস্থাপনার মতো জাতীয় গুরুত্বের খাতে উল্লেখযোগ্য অবদান রাখে। কেন্দ্রীয় ও বিভাগীয় লাইব্রেরি, বিশেষায়িত গবেষণাগার, কম্পিউটিং সুবিধা এবং residential hall culture শিক্ষার্থীদের বৌদ্ধিক ও ব্যক্তিগত বিকাশে গুরুত্বপূর্ণ ভূমিকা রাখে। ছাত্রজীবনে প্রযুক্তিভিত্তিক ক্লাব, রোবোটিক্স, প্রোগ্রামিং contest, debate, cultural event, sports এবং departmental festival শিক্ষার্থীদের বহুমাত্রিক করে তোলে। BUET-এর alumni network বাংলাদেশের সবচেয়ে শক্তিশালী পেশাগত নেটওয়ার্কগুলোর একটি; সরকারি অবকাঠামো, আন্তর্জাতিক উন্নয়ন সংস্থা, শীর্ষ প্রযুক্তি কোম্পানি, বিশ্ববিদ্যালয়, গবেষণা প্রতিষ্ঠান, উদ্যোক্তা উদ্যোগ এবং বহুজাতিক প্রতিষ্ঠানে এর গ্র্যাজুয়েটরা নেতৃত্ব দিচ্ছেন। শিল্পখাতের সঙ্গে এর সম্পর্কও মজবুত, কারণ engineering consultancy, applied research, internship, professional networking এবং চাকরির বাজারে BUET-এর নামই অনেক সময় বড় পরিচয় হয়ে দাঁড়ায়। আন্তর্জাতিক সহযোগিতা, higher study placement এবং বিদেশি বিশ্ববিদ্যালয়ে research opportunity পাওয়ার ক্ষেত্রেও এই বিশ্ববিদ্যালয়ের সুনাম অত্যন্ত উজ্জ্বল। যে শিক্ষার্থী উচ্চমানের প্রকৌশল শিক্ষা, কঠোর কিন্তু সম্মানজনক একাডেমিক পরিবেশ, শক্তিশালী গবেষণাভিত্তি এবং দীর্ঘমেয়াদি পেশাগত credibility খুঁজছে, তার জন্য BUET শুধু একটি বিশ্ববিদ্যালয় নয়, বরং জীবনের অন্যতম নির্ধারণী একাডেমিক সিদ্ধান্ত হতে পারে।</t>
  </si>
  <si>
    <t>BUET</t>
  </si>
  <si>
    <t>Palashi, Dhaka-1205, Bangladesh</t>
  </si>
  <si>
    <t>registrar@regtr.buet.ac.bd</t>
  </si>
  <si>
    <t>www.buet.ac.bd</t>
  </si>
  <si>
    <t>admission.buet.ac.bd</t>
  </si>
  <si>
    <t>Science &amp; Technology</t>
  </si>
  <si>
    <t>Rajshahi University of Engineering &amp; Technology</t>
  </si>
  <si>
    <t>Rajshahi University of Engineering &amp; Technology, সংক্ষেপে RUET, বাংলাদেশের অন্যতম প্রধান পাবলিক প্রকৌশল বিশ্ববিদ্যালয় এবং উত্তরাঞ্চলের প্রযুক্তি শিক্ষার এক শক্তিশালী কেন্দ্র। এর ইতিহাস শুরু হয় ১৯৬৪ সালে Rajshahi Engineering College হিসেবে, যখন মাত্র তিনটি বিভাগ—Mechanical Engineering, Electrical and Electronic Engineering এবং Civil Engineering—নিয়ে একাডেমিক যাত্রা শুরু হয়। এই ঐতিহাসিক ভিত্তির ওপর দাঁড়িয়ে RUET ধীরে ধীরে Bangladesh Institute of Technology, Rajshahi পর্যায় অতিক্রম করে বর্তমান পূর্ণাঙ্গ প্রকৌশল বিশ্ববিদ্যালয়ে রূপান্তরিত হয়। রাজশাহী শহরে অবস্থিত এর ক্যাম্পাস তুলনামূলকভাবে প্রশান্ত, সুসংগঠিত এবং শিক্ষাবান্ধব, যা একদিকে প্রকৌশল শিক্ষার জন্য প্রয়োজনীয় মনোনিবেশের পরিবেশ দেয়, অন্যদিকে আবাসিক ও ছাত্রকেন্দ্রিক বিশ্ববিদ্যালয়জীবনের স্বাদও তৈরি করে। RUET বর্তমানে চারটি প্রধান ফ্যাকাল্টির অধীনে পরিচালিত হয়: Faculty of Electrical and Computer Engineering, Faculty of Civil Engineering, Faculty of Mechanical Engineering এবং Faculty of Applied Science and Humanities। সাম্প্রতিক অফিসিয়াল তথ্য অনুযায়ী এর অধীনে ১৮টি বিভাগ রয়েছে, যার মধ্যে EEE, CSE, ECE, ETE, CE, Architecture, Urban and Regional Planning, Building Engineering and Construction Management, IPE, ME, Chemical Engineering, Materials Science and Engineering, Glass and Ceramic Engineering, Mechatronics Engineering, Mathematics, Chemistry, Physics এবং Humanities-এর মতো সমসাময়িক ও শক্তিশালী শাখা অন্তর্ভুক্ত। এই বৈচিত্র্যময় কাঠামো RUET-কে শুধু প্রচলিত প্রকৌশল বিশ্ববিদ্যালয় নয়, বরং শিল্পায়ন, নগর উন্নয়ন, উপকরণবিজ্ঞান, ইলেকট্রনিক্স এবং computing-এর মতো আধুনিক ক্ষেত্রেও গুরুত্বপূর্ণ করে তুলেছে। একাডেমিকভাবে RUET-এর খ্যাতি মূলত disciplined teaching, lab-intensive curriculum, design work, thesis, project-based learning এবং গবেষণামুখী শিক্ষার ওপর দাঁড়িয়ে। এর শিক্ষক ও গবেষকরা দেশি-বিদেশি জার্নালে কাজ প্রকাশ করেন এবং জাতীয় উন্নয়নের সঙ্গে সম্পর্কিত প্রযুক্তিগত সমস্যার সমাধানে অবদান রাখেন। বিশ্ববিদ্যালয়ের ল্যাবরেটরি, workshops, computer facilities, library, seminar culture এবং departmental research environment শিক্ষার্থীদের হাতে-কলমে প্রকৌশল চর্চার সুযোগ দেয়। ছাত্রজীবনে প্রযুক্তি ক্লাব, programming contest, robotics, debate, sports, cultural অনুষ্ঠান, hall-based networking এবং career-oriented event বেশ সক্রিয়। উত্তরবঙ্গের শিল্প, অবকাঠামো, বিদ্যুৎ, পরিবহন ও নির্মাণখাতের উন্নয়নের সঙ্গে RUET-এর অ্যালামনাই ও গবেষণার বাস্তব সংযোগ রয়েছে। সরকারি প্রকৌশলী, বিশ্ববিদ্যালয় শিক্ষক, কর্পোরেট পেশাজীবী, গবেষক এবং উদ্যোক্তা হিসেবে RUET-এর গ্র্যাজুয়েটরা দেশে-বিদেশে কাজ করছেন। রাজশাহী শহরের তুলনামূলক শান্ত পরিবেশ শিক্ষার্থীদের জন্য ফোকাস ধরে রাখার ক্ষেত্রেও সহায়ক। যে শিক্ষার্থী BUET-ধাঁচের প্রতিযোগিতামূলক প্রকৌশল শিক্ষা, শক্তিশালী বিভাগীয় কাঠামো, গবেষণার সুযোগ এবং সংযত কিন্তু ফলপ্রসূ ছাত্রজীবন চায়, তার জন্য RUET একটি অত্যন্ত সম্মানজনক এবং দীর্ঘমেয়াদি মূল্যবান পছন্দ।</t>
  </si>
  <si>
    <t>RUET</t>
  </si>
  <si>
    <t>Kazla, Rajshahi-6204, Bangladesh</t>
  </si>
  <si>
    <t>registrar@ruet.ac.bd</t>
  </si>
  <si>
    <t>www.ruet.ac.bd</t>
  </si>
  <si>
    <t>admission.ruet.ac.bd</t>
  </si>
  <si>
    <t>Khulna University of Engineering &amp; Technology</t>
  </si>
  <si>
    <t>Khulna University of Engineering &amp; Technology, সংক্ষেপে KUET, বাংলাদেশের দক্ষিণ-পশ্চিমাঞ্চলের শীর্ষ প্রকৌশল বিশ্ববিদ্যালয়গুলোর একটি, যার ঐতিহাসিক ভিত্তি ১৯৬৭ সালে প্রতিষ্ঠিত Khulna Engineering College পর্যন্ত বিস্তৃত। পরে ১৯৮৬ সালে এটি BIT Khulna-তে রূপান্তরিত হয় এবং ২০০৩ সালে পূর্ণাঙ্গ বিশ্ববিদ্যালয় হিসেবে KUET নাম ধারণ করে। এই দীর্ঘ প্রাতিষ্ঠানিক বিবর্তন KUET-কে এমন একটি পরিচয় দিয়েছে যেখানে ঐতিহ্য, প্রযুক্তিগত দক্ষতা এবং আধুনিক প্রকৌশল শিক্ষার সমন্বয় দেখা যায়। খুলনায় অবস্থিত বিশ্ববিদ্যালয়টির ক্যাম্পাস প্রায় ১১৭ একর এলাকাজুড়ে বিস্তৃত, এবং এটি তুলনামূলকভাবে সুসংগঠিত, নিবিড় এবং শিক্ষার্থী-কেন্দ্রিক পরিবেশের জন্য পরিচিত। সাম্প্রতিক অফিসিয়াল তথ্য অনুযায়ী KUET-এ চারটি ফ্যাকাল্টি, তিনটি ইনস্টিটিউট এবং ২০টি বিভাগ রয়েছে। Faculty of Civil Engineering, Faculty of Electrical and Electronic Engineering, Faculty of Mechanical Engineering এবং Faculty of Science and Humanities-এর অধীনে Civil Engineering, EEE, Mechanical Engineering, CSE, ECE, Industrial Engineering and Management, Energy Science and Engineering, Biomedical Engineering, Urban and Regional Planning, Leather Engineering, Textile Engineering, Building Engineering and Construction Management, Architecture, Materials Science and Engineering, Chemical Engineering, Mechatronics Engineering, Mathematics, Chemistry, Physics এবং Humanities and Business-এর মতো নানা বিভাগ পরিচালিত হয়। Institute of Information and Communication Technology এবং Consultancy, Research and Testing Service-এর মতো সহায়ক কাঠামো বিশ্ববিদ্যালয়ের প্রয়োগমুখী চরিত্রকে আরও শক্তিশালী করেছে। একাডেমিক জীবন এখানে semester-based এবং course-credit পদ্ধতিনির্ভর, যা নিয়মিত ক্লাস, assignment, lab, project, presentation এবং গবেষণাভিত্তিক শিক্ষাকে সমর্থন করে। KUET-এর বিশেষ গুরুত্ব রয়েছে উপকূলীয় অবকাঠামো, পরিবেশ, জ্বালানি, নির্মাণ প্রযুক্তি, শিল্প ব্যবস্থাপনা, নগর পরিকল্পনা এবং আধুনিক manufacturing-এর মতো ক্ষেত্রে। খুলনা অঞ্চল, সুন্দরবনের নৈকট্য, মোংলা বন্দর এবং শিল্প ও পরিবেশগত বাস্তবতা এই বিশ্ববিদ্যালয়ের গবেষণাকে বিশেষ মাত্রা দেয়। লাইব্রেরি, ল্যাব, hall accommodation, workshop, ICT support, student society এবং academic skill development center শিক্ষার্থীদের জন্য বাস্তবধর্মী শেখার পরিবেশ তৈরি করে। প্রযুক্তিভিত্তিক প্রতিযোগিতা, project showcase, সাংস্কৃতিক অনুষ্ঠান, খেলাধুলা এবং departmental networking শিক্ষার্থীদের ব্যক্তিত্ব ও নেতৃত্ব বিকাশে সহায়ক। KUET-এর alumni-রা দেশের বিদ্যুৎ, টেলিকম, অবকাঠামো, উৎপাদনশিল্প, software sector, academia এবং আন্তর্জাতিক চাকরির বাজারে শক্ত অবস্থান তৈরি করেছেন। গবেষণা, শিল্প-সংযোগ এবং দক্ষতাভিত্তিক শিক্ষার কারণে এই বিশ্ববিদ্যালয়ের ডিগ্রি বিশেষভাবে মূল্যবান। যে শিক্ষার্থী আধুনিক engineering education, organized semester culture, applied research এবং career-focused training-এর সমন্বয় চায়, তার জন্য KUET একটি সুদৃঢ়, বাস্তবমুখী এবং উচ্চমানসম্পন্ন গন্তব্য।</t>
  </si>
  <si>
    <t>KUET</t>
  </si>
  <si>
    <t>Fulbarigate, Khulna-9203, Bangladesh</t>
  </si>
  <si>
    <t>registrar@kuet.ac.bd</t>
  </si>
  <si>
    <t>www.kuet.ac.bd</t>
  </si>
  <si>
    <t>admission.kuet.ac.bd</t>
  </si>
  <si>
    <t>Chittagong University of Engineering &amp; Technology</t>
  </si>
  <si>
    <t>Chittagong University of Engineering &amp; Technology, সংক্ষেপে CUET, বাংলাদেশের অন্যতম স্বনামধন্য প্রকৌশল বিশ্ববিদ্যালয়, যার ইতিহাস Chittagong Engineering College প্রতিষ্ঠার মধ্য দিয়ে ১৯৬৮ সালে শুরু হয় এবং পরে BIT Chittagong থেকে পূর্ণাঙ্গ বিশ্ববিদ্যালয়ে উন্নীত হয়ে বর্তমান রূপ লাভ করে। চট্টগ্রামের রাওজানের পাহাড়তলি অঞ্চলে অবস্থিত এ বিশ্ববিদ্যালয় একদিকে প্রকৌশল শিক্ষার একটি শক্তিশালী কেন্দ্র, অন্যদিকে ভৌগোলিক অবস্থানের কারণে শিল্প, বন্দর, জ্বালানি, খনিজ, নির্মাণ এবং নগর উন্নয়নভিত্তিক বাস্তব কাজের সঙ্গে ঘনিষ্ঠভাবে যুক্ত। এর ক্যাম্পাসের পরিবেশ পরিচ্ছন্ন, অপেক্ষাকৃত শান্ত এবং প্রযুক্তিভিত্তিক শিক্ষার জন্য উপযোগী। সাম্প্রতিক অফিসিয়াল তথ্য অনুযায়ী CUET-এ একাধিক ফ্যাকাল্টি ও বিভাগ পরিচালিত হয়; Faculty of Civil and Environment Engineering, Faculty of Mechanical and Manufacturing Engineering, Faculty of Electrical and Computer Engineering এবং Faculty of Science and Technology-এর অধীনে Civil Engineering, Disaster Engineering and Management, Water Resources Engineering, Mechanical Engineering, Petroleum and Mining Engineering, Mechatronics and Industrial Engineering, Materials and Metallurgical Engineering, Electrical and Electronic Engineering, Computer Science and Engineering, Electronics and Telecommunication Engineering, Architecture, Urban and Regional Planning, Biomedical Engineering, Nuclear Engineering, Chemistry, Mathematics, Physics এবং Humanities-সংক্রান্ত বিভাগ রয়েছে। এই বিস্তৃত একাডেমিক গঠন CUET-কে শুধু প্রচলিত engineering university নয়, বরং emerging technologies ও strategic industries-এর সঙ্গেও সংযুক্ত করেছে। এখানে স্নাতক, স্নাতকোত্তর এবং গবেষণাধর্মী প্রোগ্রাম পরিচালিত হয়, এবং practical engineering training, laboratory work, thesis, field study, design problem এবং solution-based learning-এর ওপর জোর দেওয়া হয়। চট্টগ্রাম অঞ্চলের বন্দর, shipping, petroleum, পাহাড়ি ভূপ্রকৃতি, জলসম্পদ ও শিল্পায়ন-সংক্রান্ত বাস্তব চ্যালেঞ্জ অনেক ক্ষেত্রেই গবেষণা ও project-এর জন্য চমৎকার ক্ষেত্র তৈরি করে। বিশ্ববিদ্যালয়ের library, e-resources, halls of residence, IT support, research directorate, incubation-oriented initiative এবং student welfare services শিক্ষার্থীদের সমন্বিত শেখার পরিবেশ দেয়। ছাত্রজীবনে programming contest, robotics, technical club, departmental fest, cultural অনুষ্ঠান, volunteering এবং sports কার্যক্রম সক্রিয়। এর শিক্ষার্থীরা জাতীয় পর্যায়ের প্রযুক্তি প্রতিযোগিতা, scholarship program এবং career placement-এ নিয়মিত সাফল্য অর্জন করে। CUET-এর alumni-রা বিদ্যুৎ, টেলিকম, roads and highways, port engineering, software development, oil and gas, academia এবং international higher studies-এ শক্তিশালী অবস্থান তৈরি করেছেন। যে শিক্ষার্থী industrially relevant engineering education, modern department choice, practical exposure এবং career-oriented প্রযুক্তিগত দক্ষতা অর্জন করতে চায়, তার জন্য CUET একটি অত্যন্ত কার্যকর এবং সম্মানজনক বিশ্ববিদ্যালয় নির্বাচন।</t>
  </si>
  <si>
    <t>CUET</t>
  </si>
  <si>
    <t>Raozan, Chattogram-4349, Bangladesh</t>
  </si>
  <si>
    <t>registrar@cuet.ac.bd</t>
  </si>
  <si>
    <t>www.cuet.ac.bd</t>
  </si>
  <si>
    <t>admission.cuet.ac.bd</t>
  </si>
  <si>
    <t>Shahjalal University of Science and Technology</t>
  </si>
  <si>
    <t>Shahjalal University of Science and Technology, সংক্ষেপে SUST, বাংলাদেশের বিজ্ঞান ও প্রযুক্তিভিত্তিক উচ্চশিক্ষার ইতিহাসে এক মাইলফলক, কারণ এটি ১৯৮৬ সালে দেশের প্রথম বিশেষায়িত বিজ্ঞান ও প্রযুক্তি বিশ্ববিদ্যালয় হিসেবে প্রতিষ্ঠিত হয় এবং ১৩ ফেব্রুয়ারি ১৯৯১ সালে মাত্র তিনটি বিভাগ—Physics, Chemistry এবং Economics—নিয়ে একাডেমিক কার্যক্রম শুরু করে। সিলেটে অবস্থিত এই বিশ্ববিদ্যালয়টি আজ একটি বহুমাত্রিক ও গতিশীল প্রতিষ্ঠান, যেখানে সাম্প্রতিক তথ্য অনুযায়ী ৬ বা ৭টি school, ২৭টি বিভাগ, ২টি institute এবং School of Medical Sciences-এর অধীনে একাধিক affiliated medical college রয়েছে। সিলেটের প্রাকৃতিক পরিবেশ, শহরের সঙ্গে বিশ্ববিদ্যালয়ের ঘনিষ্ঠ সংযোগ, এবং অপেক্ষাকৃত উন্মুক্ত ও উদ্ভাবন-বান্ধব একাডেমিক সংস্কৃতি SUST-কে শিক্ষার্থীদের কাছে বিশেষ আকর্ষণীয় করে তুলেছে। এর একাডেমিক কাঠামোতে School of Applied Sciences and Technology, Physical Sciences, Life Sciences, Social Sciences, Management and Business Administration, Arts, Humanities and Languages এবং Medical Sciences-সংশ্লিষ্ট শিক্ষা বিস্তৃত হয়েছে। Computer Science and Engineering, Software Engineering, Electrical and Electronic Engineering, Civil and Environmental Engineering, Genetic Engineering and Biotechnology, Biochemistry and Molecular Biology, Statistics, Economics, Business Administration, English, বাংলা, Industrial and Production Engineering, Food Engineering and Tea Technology, Anthropology, Political Studies এবং Public Administration-এর মতো বিভাগগুলো বিশেষভাবে জনপ্রিয়। বিশ্ববিদ্যালয়টি শুরু থেকেই প্রযুক্তিনির্ভর, গবেষণামুখী ও পরিবর্তন-গ্রহণক্ষম শিক্ষাব্যবস্থার জন্য পরিচিত। SUST Research Centre ২০১১ সালে প্রতিষ্ঠিত হয়ে faculty member-দের গবেষণা ত্বরান্বিত করা, grant management, publication support এবং innovation culture গঠনে কাজ করছে। বিশ্ববিদ্যালয়ের Computer and Information Center সারা ক্যাম্পাসকে IT-enabled পরিবেশে রূপ দিতে গুরুত্বপূর্ণ ভূমিকা রেখেছে। library, laboratory, research support, campus internet, scholarship system, student advising এবং skill-oriented academic environment শিক্ষার্থীদের বাস্তবমুখী শেখার সুযোগ দেয়। ছাত্রজীবন এখানে অত্যন্ত প্রাণবন্ত; programming contest, mathematics olympiad, robotics, debating, cultural অনুষ্ঠান, voluntary work, science festival, sports এবং departmental society-ভিত্তিক কার্যক্রম শিক্ষার্থীদের একাডেমিকতার বাইরেও আত্মবিশ্বাসী করে তোলে। SUST-এর alumni-রা software industry, data science, academia, administration, development sector, entrepreneurship এবং international higher education-এ উজ্জ্বল উপস্থিতি রেখেছেন। সিলেটের আন্তর্জাতিক যোগাযোগ, প্রবাসী পরিবারসংযোগ এবং আঞ্চলিক অর্থনৈতিক গুরুত্বও শিক্ষার্থীদের জন্য career mobility বাড়ায়। যে শিক্ষার্থী modern science and technology education, research culture, IT-friendly campus এবং বৌদ্ধিক স্বাধীনতার সমন্বয়ে নিজেকে গড়ে তুলতে চায়, তার জন্য Shahjalal University of Science and Technology বাংলাদেশের অন্যতম সেরা এবং দূরদর্শী পছন্দ।</t>
  </si>
  <si>
    <t>SUST</t>
  </si>
  <si>
    <t>Kumargaon, Sylhet-3114, Bangladesh</t>
  </si>
  <si>
    <t>admission@sust.edu</t>
  </si>
  <si>
    <t>www.sust.edu</t>
  </si>
  <si>
    <t>admission.sust.edu.bd</t>
  </si>
  <si>
    <t>Dhaka University of Engineering &amp; Technology</t>
  </si>
  <si>
    <t>Dhaka University of Engineering &amp; Technology, Gazipur, সংক্ষেপে DUET, বাংলাদেশের প্রকৌশল শিক্ষাব্যবস্থায় একটি স্বতন্ত্র ও অনন্য বিশ্ববিদ্যালয়, কারণ এটি বিশেষত diploma engineering background-এর শিক্ষার্থীদের জন্য উচ্চতর প্রকৌশল শিক্ষার সেতুবন্ধন হিসেবে পরিচিত। গাজীপুরে অবস্থিত এই বিশ্ববিদ্যালয় শিল্পাঞ্চল, কারিগরি প্রতিষ্ঠান এবং রাজধানীর নিকটবর্তী ভৌগোলিক সুবিধাকে একত্র করে একটি অত্যন্ত প্রাসঙ্গিক প্রযুক্তি-শিক্ষা প্ল্যাটফর্ম গড়ে তুলেছে। সাম্প্রতিক অফিসিয়াল তথ্য অনুযায়ী DUET-এ চারটি ফ্যাকাল্টি, ১৪টি বিভাগ, ৩টি ইনস্টিটিউট এবং climate ও sustainability-ভিত্তিক গবেষণা কেন্দ্র রয়েছে। এর বিভাগগুলোর মধ্যে Civil Engineering, Architecture, EEE, CSE, Mechanical Engineering, Textile Engineering, Industrial and Production Engineering, Chemical Engineering, Materials and Metallurgical Engineering, Food Engineering, Chemistry, Mathematics, Physics এবং Humanities and Social Sciences উল্লেখযোগ্য। Faculty of Civil Engineering-এর অধীনে Department of Civil Engineering, Department of Architecture, Institute of Water &amp; Environment এবং Center for Climate Change &amp; Sustainability Research-এর উপস্থিতি দেখায় যে DUET শুধু প্রচলিত engineering training-এ সীমাবদ্ধ নয়, বরং পানি, পরিবেশ, জলবায়ু, টেকসই উন্নয়ন এবং applied science-কেও গুরুত্ব দিচ্ছে। University website অনুযায়ী এখানে ২৭০-এর বেশি শিক্ষক, ৩৫০০-এর বেশি শিক্ষার্থী এবং বহু প্রশাসনিক কর্মকর্তা নিয়ে একটি বড় একাডেমিক কমিউনিটি গড়ে উঠেছে। DUET-এর পাঠ্যক্রম ইংরেজিমাধ্যমভিত্তিক এবং উচ্চ প্রতিযোগিতামূলক ভর্তি পরীক্ষার মাধ্যমে শিক্ষার্থী নির্বাচন করা হয়, যা এর মান রক্ষায় গুরুত্বপূর্ণ ভূমিকা রাখে। একাডেমিকভাবে এখানে lab work, workshop training, project, thesis, শিল্প-উপযোগী design thinking এবং বাস্তবমুখী problem solving-এর ওপর যথেষ্ট গুরুত্ব দেওয়া হয়। শিল্প এলাকা-সংলগ্ন অবস্থানের কারণে manufacturing, textile, construction, energy, food processing এবং industrial management-সংশ্লিষ্ট internship ও কর্মসংস্থানের পথও অনেক ক্ষেত্রেই শক্তিশালী। library, e-learning platform, journal access, academic collaboration, clubs and communities, alumni association এবং গবেষণামুখী publication culture শিক্ষার্থীদের পেশাগত প্রস্তুতি বাড়ায়। ছাত্রজীবনে technical club, career development event, programming, innovation activity, sports ও সাংস্কৃতিক অংশগ্রহণেরও সুযোগ রয়েছে। DUET-এর alumni-রা বিশেষত কারখানা, শিল্প-প্রকৌশল, সরকারি প্রকৌশল দপ্তর, utility service, academia এবং বিদেশি higher study-তে সফলতা দেখিয়েছেন। যে শিক্ষার্থী diploma থেকে university-level engineering-এ উন্নীত হতে চায়, কিংবা applied, industry-linked এবং career-focused engineering education খুঁজছে, তার জন্য DUET একটি অত্যন্ত কার্যকর, বাস্তবভিত্তিক এবং সম্মানজনক সিদ্ধান্ত।</t>
  </si>
  <si>
    <t>09666-328005</t>
  </si>
  <si>
    <t>DUET</t>
  </si>
  <si>
    <t>Gazipur-1707, Bangladesh</t>
  </si>
  <si>
    <t>registrar@duet.ac.bd</t>
  </si>
  <si>
    <t>https://www.duet.ac.bd/</t>
  </si>
  <si>
    <t>https://admission.duet.ac.bd/</t>
  </si>
  <si>
    <t>Islamic University of Technology</t>
  </si>
  <si>
    <t>Islamic University of Technology, সংক্ষেপে IUT, বাংলাদেশের উচ্চশিক্ষা খাতে একটি ব্যতিক্রমধর্মী প্রতিষ্ঠান, কারণ এটি কোনো একক জাতীয় কাঠামোর বিশ্ববিদ্যালয় নয়; বরং Organisation of Islamic Cooperation বা OIC-এর একটি subsidiary organ হিসেবে পরিচালিত আন্তর্জাতিক চরিত্রসম্পন্ন প্রযুক্তি বিশ্ববিদ্যালয়। গাজীপুরের বোর্ডবাজারে অবস্থিত এই প্রতিষ্ঠানটি OIC সদস্যভুক্ত দেশগুলোর শিক্ষার্থীদের জন্য প্রকৌশল, প্রযুক্তি, technical education এবং postgraduate research-ভিত্তিক উচ্চশিক্ষার সুযোগ তৈরি করেছে। IUT-এর ক্যাম্পাসে বহুজাতিক শিক্ষার্থীসমাজ, ইংরেজিভিত্তিক একাডেমিক পরিবেশ এবং আন্তর্জাতিকতার একটি স্বতন্ত্র আবহ আছে, যা বাংলাদেশের অন্যান্য অধিকাংশ পাবলিক বিশ্ববিদ্যালয়ের তুলনায় ভিন্ন অভিজ্ঞতা দেয়। সাম্প্রতিক অফিসিয়াল তথ্য অনুযায়ী বিশ্ববিদ্যালয়টিতে Faculty of Engineering and Technology, Faculty of Science and Technical Education এবং Faculty of Postgraduate Studies-এর অধীনে ছয়টি প্রধান বিভাগ পরিচালিত হয়। Department of Mechanical and Production Engineering, Electrical and Electronic Engineering, Computer Science and Engineering, Civil and Environmental Engineering, পাশাপাশি technical education/TVET-সংক্রান্ত বিভাগসমূহ এর একাডেমিক কাঠামোর মূল অংশ। এর শিক্ষাদর্শন কেবল ডিগ্রি প্রদান নয়, বরং OIC member states-এর জন্য দক্ষ প্রযুক্তিবিদ, শিক্ষক-প্রশিক্ষক, গবেষক এবং শিল্পনেতা তৈরি করা। IUT-এ lab-based teaching, design work, project, গবেষণা, technical report writing, inter-country collaboration এবং professional communication-এর ওপর উল্লেখযোগ্য জোর দেওয়া হয়। এখানকার library, e-resources, campus life support, residential ব্যবস্থা এবং modern classroom environment শিক্ষার্থীদের আন্তর্জাতিক মানের শিক্ষার অভিজ্ঞতা দেয়। বিভিন্ন দেশের শিক্ষার্থীদের একসঙ্গে বসবাস ও অধ্যয়নের ফলে cross-cultural understanding, teamwork, global communication এবং collaborative leadership-এর দক্ষতা তৈরি হয়, যা IUT-এর অন্যতম বড় অদৃশ্য সম্পদ। প্রযুক্তিভিত্তিক প্রতিযোগিতা, engineering design activity, student club, sports, ধর্মীয় ও সাংস্কৃতিক সহাবস্থান এবং বহুভাষিক মেলবন্ধন শিক্ষার্থীদের সার্বিক বিকাশে সহায়তা করে। IUT-এর alumni network শুধু বাংলাদেশেই নয়, OIC-এর বহু দেশে বিস্তৃত, ফলে এর graduates-দের জন্য regional mobility, international চাকরির সুযোগ এবং higher study pathway তুলনামূলকভাবে বিস্তৃত। TVET, teacher education এবং applied engineering-এর সংযোগ এটিকে বিশেষভাবে কৌশলগত বিশ্ববিদ্যালয়ে পরিণত করেছে। যে শিক্ষার্থী প্রকৌশল শিক্ষার পাশাপাশি international exposure, multicultural campus, English-medium professional training এবং OIC-connected career identity চায়, তার জন্য Islamic University of Technology একটি অত্যন্ত স্বতন্ত্র, মর্যাদাপূর্ণ এবং ভবিষ্যতমুখী পছন্দ।</t>
  </si>
  <si>
    <t>IUT</t>
  </si>
  <si>
    <t>Board Bazar, Gazipur-1704</t>
  </si>
  <si>
    <t>registrar@iut-dhaka.edu</t>
  </si>
  <si>
    <t>https://www.iutoic-dhaka.edu</t>
  </si>
  <si>
    <t>https://admission.iutoic-dhaka.edu</t>
  </si>
  <si>
    <t>Hajee Mohammad Danesh Science &amp; Technology University</t>
  </si>
  <si>
    <t>Hajee Mohammad Danesh Science &amp; Technology University, সংক্ষেপে HSTU, দিনাজপুরে অবস্থিত বাংলাদেশের উত্তরাঞ্চলের একটি বড় ও বহুমাত্রিক পাবলিক বিশ্ববিদ্যালয়, যা কৃষি, বিজ্ঞান, প্রকৌশল, ব্যবসায় শিক্ষা, মৎস্য, ভেটেরিনারি, সামাজিক বিজ্ঞান এবং postgraduate research—সবকিছুকে একত্র করে একটি সমন্বিত উচ্চশিক্ষা মডেল তৈরি করেছে। এর প্রাতিষ্ঠানিক ইতিহাসের সূচনা Agricultural Extension Training Institute পর্যায় থেকে; পরে এটি Hajee Mohammad Danesh Agricultural College-এ উন্নীত হয় এবং ধাপে ধাপে পূর্ণাঙ্গ বিশ্ববিদ্যালয়ে রূপান্তরিত হয়। ১৯৯৯-২০০০ শিক্ষাবর্ষে এর আধুনিক একাডেমিক যাত্রা শুরু হয়। বর্তমানে অফিসিয়াল তথ্য অনুযায়ী HSTU-তে ৯টি ফ্যাকাল্টির অধীনে ৪৫টি বিভাগ রয়েছে, যার মধ্যে Faculty of Agriculture, Faculty of Computer Science and Engineering, Faculty of Business Studies, Faculty of Fisheries, Faculty of Engineering, Faculty of Veterinary and Animal Science, Faculty of Science, Faculty of Social Science and Humanities এবং Faculty of Postgraduate Studies উল্লেখযোগ্য। এর পাশাপাশি Institute of Research and Training গবেষণা, প্রশিক্ষণ এবং outreach কাজ পরিচালনা করে। HSTU-এর একাডেমিক কাঠামোর সৌন্দর্য হলো এটি বাংলাদেশের উত্তরাঞ্চলের কৃষি ও আঞ্চলিক অর্থনীতির বাস্তব চাহিদার সঙ্গে প্রযুক্তি, উদ্যোক্তাবোধ এবং বৈজ্ঞানিক গবেষণাকে যুক্ত করেছে। Agriculture, Fisheries, DVM, CSE, EEE-সংশ্লিষ্ট engineering stream, Food and Nutrition, Business Administration, English, Economics, Statistics, Social Science এবং applied science-ভিত্তিক নানা বিষয়ে এখানে স্নাতক, স্নাতকোত্তর, MS ও PhD পর্যায়ের শিক্ষা দেওয়া হয়। অফিসিয়াল undergraduate programme তথ্য অনুযায়ী অধিকাংশ bachelor degree চার বছর ও আট সেমিস্টারের, যদিও DVM-এর মতো কিছু degree পাঁচ বছরব্যাপী এবং internship-সমৃদ্ধ। এই কাঠামো HSTU-কে একটি professional yet research-oriented বিশ্ববিদ্যালয়ে রূপ দিয়েছে। লাইব্রেরি, medical service, living and culture support, transport, advisory division, international affairs section, IQAC এবং IT cell-এর মতো সুবিধা শিক্ষার্থীদের জন্য সার্বিক সহায়তা তৈরি করে। বিশ্ববিদ্যালয়টির একটি লক্ষণীয় দিক হলো এর international student presence; সাম্প্রতিক তথ্য অনুযায়ী এখানে নেপাল, ভুটান, ভারত, আফ্রিকার কিছু দেশসহ বিভিন্ন অঞ্চল থেকে আন্তর্জাতিক শিক্ষার্থীও পড়াশোনা করছে, যা এর আঞ্চলিক গ্রহণযোগ্যতাকে শক্তিশালী করে। ছাত্রজীবনে academic society, cultural অনুষ্ঠান, sports, volunteer activity, কৃষি ও প্রযুক্তিভিত্তিক field exposure এবং residence-based community life শিক্ষার্থীদের বহুমাত্রিক অভিজ্ঞতা দেয়। উত্তরাঞ্চলের কৃষি, খাদ্যনিরাপত্তা, প্রাণিসম্পদ, মৎস্য, পরিবেশ এবং প্রযুক্তিভিত্তিক উন্নয়নে HSTU-এর গবেষণা ও স্নাতকদের অবদান বিশেষ গুরুত্বপূর্ণ। যে শিক্ষার্থী multidisciplinary education, agriculture-to-technology সংযোগ, গবেষণার সুযোগ এবং আঞ্চলিক বাস্তবতার সঙ্গে যুক্ত বাস্তবমুখী বিশ্ববিদ্যালয়জীবন চায়, তার জন্য Hajee Mohammad Danesh Science &amp; Technology University একটি অত্যন্ত শক্তিশালী, অর্থবহ এবং ভবিষ্যৎমুখী নির্বাচন।</t>
  </si>
  <si>
    <t>HSTU</t>
  </si>
  <si>
    <t>Basherhat, Dinajpur-5200, Bangladesh</t>
  </si>
  <si>
    <t>registrar@hstu.ac.bd</t>
  </si>
  <si>
    <t>www.hstu.ac.bd</t>
  </si>
  <si>
    <t>admission.hstu.ac.bd</t>
  </si>
  <si>
    <t xml:space="preserve">3.GST (General/Public) </t>
  </si>
  <si>
    <t>Islamic University</t>
  </si>
  <si>
    <t>Islamic University বাংলাদেশের কুষ্টিয়া-ঝিনাইদহ সংলগ্ন শান্তিডাঙ্গা-দুলালপুর অঞ্চলে অবস্থিত একটি গুরুত্বপূর্ণ সরকারি গবেষণাভিত্তিক বিশ্ববিদ্যালয়, যা দেশের দক্ষিণ-পশ্চিমাঞ্চলে উচ্চশিক্ষার অন্যতম বড় কেন্দ্র হিসেবে পরিচিত। বিশ্ববিদ্যালয়টির অফিসিয়াল প্রোফাইল অনুযায়ী এটি দেশের শীর্ষ সরকারি বিশ্ববিদ্যালয়গুলোর একটি এবং এখানে ধর্মতত্ত্ব ও ইসলামী শিক্ষা থেকে শুরু করে আইন, ব্যবসায় প্রশাসন, সামাজিক বিজ্ঞান, বিজ্ঞান, প্রকৌশল ও প্রযুক্তি এবং জীববিজ্ঞানের মতো বহু শাখায় শিক্ষা পরিচালিত হয়। এর ক্যাম্পাসটি কুষ্টিয়া শহর থেকে প্রায় ২৪ কিলোমিটার দক্ষিণে এবং ঝিনাইদহ থেকে প্রায় ২২ কিলোমিটার উত্তরে অবস্থিত, ফলে এটি দুই জেলার মাঝামাঝি একটি স্বতন্ত্র একাডেমিক পরিবেশ গড়ে তুলেছে। বিশ্ববিদ্যালয়টির অধীনে Theology and Islamic Studies, Islamic and Comparative Religion, Arts, Social Sciences, Law, Business Administration, Sciences, Engineering and Technology এবং Biological Sciences-সহ একাধিক অনুষদ রয়েছে; পাশাপাশি Institute of Islamic Education and Research, Central Laboratory, IQAC, International Student Affairs Cell, ICT Cell, Computer Center, Medical Center, Transportation service, co-curricular facilities এবং বহু আবাসিক হল শিক্ষার্থীদের জন্য একটি পূর্ণাঙ্গ বিশ্ববিদ্যালয়-অভিজ্ঞতা তৈরি করে। এখানে গবেষণা ও উদ্ভাবনের জন্য journal archive, e-book access, library services এবং research and collaboration section চালু আছে, যা দেখায় যে বিশ্ববিদ্যালয়টি শুধু পাঠদানেই নয়, জ্ঞান উৎপাদনেও গুরুত্ব দেয়। ছাত্রজীবনের দিক থেকেও এটি প্রাণবন্ত; student counseling, clubs and activities, alumni network, physical education এবং সাংস্কৃতিক পরিবেশ শিক্ষার্থীদের ব্যক্তিগত বিকাশে সহায়তা করে। একজন শিক্ষার্থীর জন্য এই বিশ্ববিদ্যালয়ের বড় আকর্ষণ হলো—এখানে একই সঙ্গে ঐতিহ্য, ধর্মীয় ও মানবিক শিক্ষা, আধুনিক সামাজিক বিজ্ঞান, বিজ্ঞান ও প্রযুক্তিভিত্তিক পড়াশোনার সুযোগ আছে, এবং দক্ষিণ-পশ্চিমাঞ্চলের একটি বড় আবাসিক বিশ্ববিদ্যালয় হিসেবে এটি তুলনামূলকভাবে বিস্তৃত ও স্বয়ংসম্পূর্ণ একাডেমিক জীবন দেয়। যারা বহুমাত্রিক বিষয়ের মধ্যে পড়ার সুযোগ, গবেষণার সম্ভাবনা, আবাসিক ক্যাম্পাসজীবন এবং জাতীয় পর্যায়ে স্বীকৃত একটি সরকারি বিশ্ববিদ্যালয়ের পরিচয় চান, তাদের জন্য Islamic University একটি শক্তিশালী ও বাস্তবসম্মত পছন্দ।</t>
  </si>
  <si>
    <t>IU</t>
  </si>
  <si>
    <t>Kushtia-7003, Bangladesh</t>
  </si>
  <si>
    <t>registrar@iu.ac.bd</t>
  </si>
  <si>
    <t>https://iu.ac.bd</t>
  </si>
  <si>
    <t>https://gstadmission.ac.bd</t>
  </si>
  <si>
    <t xml:space="preserve">GST (General/Public) </t>
  </si>
  <si>
    <t>University of Frontier Technology</t>
  </si>
  <si>
    <t>University of Frontier Technology, Bangladesh বা UFTB বাংলাদেশের একটি বিশেষায়িত সরকারি বিশ্ববিদ্যালয়, যা ২০১৬ সালে প্রতিষ্ঠিত হয় এবং ২০১৮ সাল থেকে ভর্তি কার্যক্রম শুরু করে। বিশ্ববিদ্যালয়টির অফিসিয়াল overview-তে একে দেশের প্রথম specialized government digital university বলা হয়েছে এবং এর অবস্থান গাজীপুরের কালিয়াকৈরে হাই-টেক পার্ক সংলগ্ন এলাকায়, যা এর একাডেমিক দর্শনকে খুব স্পষ্টভাবে প্রতিফলিত করে: প্রযুক্তিনির্ভর, ভবিষ্যতমুখী এবং জ্ঞানভিত্তিক সমাজ নির্মাণ। UFTB-এর মূল শক্তি হলো এটি প্রচলিত সাধারণ বিশ্ববিদ্যালয় কাঠামোর বাইরে গিয়ে frontier technology, digital transformation, applied computing এবং emerging engineering-based knowledge-এর দিকে জোর দিচ্ছে। অফিসিয়াল সাইটে বিশ্ববিদ্যালয়টি youth-driven innovation, knowledge-based society এবং skilled human resource development-এর লক্ষ্যে গড়ে ওঠা প্রতিষ্ঠান হিসেবে উপস্থাপিত হয়েছে। এই ধরনের অবস্থান বিশেষ করে বাংলাদেশের Fourth Industrial Revolution, cybersecurity, software systems, data science, AI, IoT ও digital education-ভিত্তিক শ্রমবাজারের সঙ্গে বিশ্ববিদ্যালয়টিকে স্বাভাবিকভাবে যুক্ত করে। যদিও এটি তুলনামূলক নতুন প্রতিষ্ঠান, তবু এর প্রতিষ্ঠার দর্শন এবং অবস্থানগত সুবিধা—বিশেষ করে Kaliakair Hi-Tech Park-এর নিকটবর্তীতা—ইঙ্গিত করে যে ভবিষ্যতে এটি প্রযুক্তি, উদ্ভাবন, গবেষণা, startup ecosystem এবং industry collaboration-এর ক্ষেত্রে গুরুত্বপূর্ণ ভূমিকা রাখতে পারে। একজন শিক্ষার্থীর জন্য এই বিশ্ববিদ্যালয়ের সম্ভাব্য আকর্ষণ হলো এর বিশেষায়িত চরিত্র; এখানে পড়া মানে শুধু একটি degree নেওয়া নয়, বরং এমন এক একাডেমিক পরিমণ্ডলে প্রবেশ করা যেখানে প্রযুক্তির নতুন সীমানা, ডিজিটাল কর্মসংস্থান এবং উদ্ভাবনমূলক চিন্তা বিশেষ গুরুত্ব পায়। যারা computer science, data-driven technology, software systems, modern digital engineering বা future-facing professional pathway-এর দিকে নিজেদের প্রস্তুত করতে চায়, তাদের জন্য University of Frontier Technology, Bangladesh একটি উদীয়মান কিন্তু কৌশলগতভাবে গুরুত্বপূর্ণ বিশ্ববিদ্যালয়।</t>
  </si>
  <si>
    <t>UFTB</t>
  </si>
  <si>
    <t>Kaliakair, Gazipur-1750, Bangladesh</t>
  </si>
  <si>
    <t>registrar@uftb.ac.bd</t>
  </si>
  <si>
    <t>https://www.uftb.ac.bd</t>
  </si>
  <si>
    <t>https://admission.uftb.ac.bd</t>
  </si>
  <si>
    <t>University of Barishal</t>
  </si>
  <si>
    <t>University of Barishal দক্ষিণাঞ্চলের একমাত্র সাধারণ সরকারি বিশ্ববিদ্যালয় হিসেবে বিশেষ গুরুত্ব বহন করে এবং এর অফিসিয়াল overview অনুযায়ী এটি ২০১১ সালে প্রতিষ্ঠিত বাংলাদেশের ৩৩তম পাবলিক বিশ্ববিদ্যালয়। বরিশাল সদর উপজেলার কর্ণকাঠিতে অবস্থিত এই বিশ্ববিদ্যালয়টি বরিশাল বিভাগের শিক্ষার্থীদের জন্য উচ্চশিক্ষার প্রধান কেন্দ্রগুলোর একটি, এবং সাম্প্রতিক অফিসিয়াল তথ্য থেকে বোঝা যায় যে এটি দ্রুতই একটি বহুমাত্রিক পূর্ণাঙ্গ বিশ্ববিদ্যালয়ে পরিণত হয়েছে। এর departments page-এ গণিত, কম্পিউটার সায়েন্স অ্যান্ড ইঞ্জিনিয়ারিং, রসায়ন, পদার্থবিজ্ঞান, ভূতত্ত্ব ও খনি, পরিসংখ্যান ও ডেটা সায়েন্স, Soil, Water and Environment, Botany, Coastal Studies and Disaster Management, Biochemistry and Biotechnology, Marketing, Management Studies, Accounting and Information Systems, Finance and Banking, Economics, Sociology, Public Administration, Political Science, Mass Communication and Journalism, Social Work, English, Bangla, Philosophy, History এবং Law-এর মতো বিভাগ দেখা যায়। এই তালিকা থেকেই বোঝা যায় যে বিশ্ববিদ্যালয়টি বিজ্ঞান, ব্যবসায় শিক্ষা, সামাজিক বিজ্ঞান, মানবিক বিদ্যা, আইন এবং উদীয়মান প্রযুক্তিভিত্তিক বিষয়সমূহের সমন্বয়ে একটি শক্তিশালী একাডেমিক কাঠামো গড়ে তুলেছে। গবেষণার দিক থেকেও এটি সক্রিয়; অফিসিয়াল সাইটে ২০২৬ সালেও বিভাগীয় সেমিনার, গবেষণাভিত্তিক আলোচনা এবং এমএস ভর্তি-সংক্রান্ত নোটিশ দেখা যায়, যা এর academic continuity-র ইঙ্গিত দেয়। দক্ষিণাঞ্চলের ভৌগোলিক বাস্তবতাকে বিবেচনায় নিলে Coastal Studies, Disaster Management, পরিবেশ, কৃষি-সংযুক্ত অঞ্চলগত গবেষণা এবং সামাজিক পরিবর্তন বিশ্লেষণের জন্য এ বিশ্ববিদ্যালয়ের বিশেষ সম্ভাবনা রয়েছে। একজন শিক্ষার্থীর জন্য University of Barishal-এর বড় শক্তি হলো—এটি তুলনামূলক নতুন হলেও বিষয়বৈচিত্র্য, আঞ্চলিক গুরুত্ব, গবেষণার সুযোগ এবং স্থানীয় শিক্ষার্থীদের জন্য accessible public higher education প্রদান করছে। যারা বরিশাল বিভাগের মধ্যে থেকেই একটি সরকারি বিশ্ববিদ্যালয়ে বহুশাখাভিত্তিক পড়াশোনা, সম্ভাবনাময় বিভাগ, ধীরে ধীরে বাড়তে থাকা গবেষণা পরিবেশ এবং নিজ অঞ্চলে ক্যারিয়ার গঠনের সুযোগ খুঁজছে, তাদের জন্য University of Barishal একটি অত্যন্ত যুক্তিযুক্ত ও ভবিষ্যতমুখী সিদ্ধান্ত।</t>
  </si>
  <si>
    <t>BU</t>
  </si>
  <si>
    <t>Karnakathi, Barishal - 8254</t>
  </si>
  <si>
    <t>registrar@bu.ac.bd</t>
  </si>
  <si>
    <r>
      <rPr>
        <rFont val="Arial"/>
        <b/>
        <color rgb="FF1155CC"/>
        <u/>
      </rPr>
      <t>https://bu.ac.bd</t>
    </r>
  </si>
  <si>
    <r>
      <rPr>
        <rFont val="Arial"/>
        <b/>
        <color rgb="FF1155CC"/>
        <u/>
      </rPr>
      <t>https://gstadmission.ac.bd</t>
    </r>
  </si>
  <si>
    <t>Rabindra University, Bangladesh</t>
  </si>
  <si>
    <t>Rabindra University, Bangladesh সিরাজগঞ্জের শাহজাদপুরে অবস্থিত একটি স্বাতন্ত্র্যপূর্ণ সরকারি বিশ্ববিদ্যালয়, যা রবীন্দ্রনাথ ঠাকুরের স্মৃতি, সংস্কৃতি ও জ্ঞানচর্চার ঐতিহ্যের সঙ্গে উচ্চশিক্ষাকে যুক্ত করার অনন্য ধারণা থেকে গড়ে উঠেছে। অফিসিয়াল সাইটে উল্লেখ আছে যে বিশ্ববিদ্যালয়টি ২০১৮ সালে তিনটি বিভাগ ও ১১৩ জন শিক্ষার্থী নিয়ে দুইটি অনুষদের অধীনে একাডেমিক কার্যক্রম শুরু করে, এবং সময়ের সঙ্গে এটি ধীরে ধীরে বিস্তৃত হয়েছে। অন্যান্য নির্ভরযোগ্য তথ্যসূত্রেও দেখা যায় যে এর একাডেমিক কাঠামো বর্তমানে চারটি অনুষদের অধীনে বাংলা, অর্থনীতি, সমাজবিজ্ঞান, ম্যানেজমেন্ট স্টাডিজ এবং মিউজিকের মতো বিভাগ নিয়ে গড়ে উঠেছে। শাহজাদপুরের সঙ্গে রবীন্দ্রনাথের ঐতিহাসিক সম্পর্ক থাকায় এই বিশ্ববিদ্যালয়ের সাংস্কৃতিক তাৎপর্য খুবই গভীর; এটি শুধু আরেকটি আঞ্চলিক বিশ্ববিদ্যালয় নয়, বরং সাহিত্য, সংগীত, মানবিকতা, সামাজিক বিশ্লেষণ ও সৃজনশীল জ্ঞানচর্চার একটি প্রতীকী কেন্দ্র। এখানকার একাডেমিক পরিবেশে arts, social science, business studies এবং drama and music-সংশ্লিষ্ট চর্চা বিশ্ববিদ্যালয়টিকে দেশের অন্য অনেক নবীন বিশ্ববিদ্যালয় থেকে আলাদা করেছে। একজন শিক্ষার্থীর জন্য এর বড় আকর্ষণ হলো—এখানে পড়াশোনা মানে কেবল চাকরিমুখী degree অর্জন নয়, বরং একটি সাংস্কৃতিকভাবে অনুপ্রাণিত, মানবিক ও সৃজনশীল বিশ্ববিদ্যালয় পরিবেশের অংশ হওয়া। রবীন্দ্র-ঐতিহ্যঘেরা প্রেক্ষাপটে গড়ে ওঠা এই প্রতিষ্ঠানটি বাংলা ভাষা, সমাজ, অর্থনীতি, সংগীত এবং ব্যবস্থাপনা—এসব বিষয়ে আগ্রহী শিক্ষার্থীদের জন্য বিশেষভাবে অর্থবহ হতে পারে। গবেষণা, সাংস্কৃতিক কার্যক্রম, সাহিত্যচর্চা এবং সৃজনশীল ছাত্রজীবনের সম্ভাবনা এখানে স্বাভাবিকভাবেই বেশি। যারা এমন একটি বিশ্ববিদ্যালয় চান যেখানে পরিচয়, সংস্কৃতি, ভাষা, সামাজিক চিন্তা এবং আধুনিক উচ্চশিক্ষা একসঙ্গে মিলিত হয়েছে, তাদের জন্য Rabindra University, Bangladesh একটি ভিন্নধর্মী এবং স্মরণীয় একাডেমিক পছন্দ হতে পারে।</t>
  </si>
  <si>
    <t>RUB</t>
  </si>
  <si>
    <t>Shahzadpur, Sirajganj - 6770</t>
  </si>
  <si>
    <t>registrar@rub.ac.bd</t>
  </si>
  <si>
    <r>
      <rPr>
        <rFont val="Arial"/>
        <b/>
        <color rgb="FF1155CC"/>
        <u/>
      </rPr>
      <t>https://rub.ac.bd</t>
    </r>
  </si>
  <si>
    <r>
      <rPr>
        <rFont val="Arial"/>
        <b/>
        <color rgb="FF1155CC"/>
        <u/>
      </rPr>
      <t>https://gstadmission.ac.bd</t>
    </r>
  </si>
  <si>
    <t>Netrokona University</t>
  </si>
  <si>
    <t>Netrokona University নেত্রকোনায় প্রতিষ্ঠিত একটি নবীন সরকারি বিশ্ববিদ্যালয়, যা ২০১৮ সালে প্রতিষ্ঠার পর ধাপে ধাপে নিজস্ব একাডেমিক কাঠামো গড়ে তুলছে। অফিসিয়াল ওয়েবসাইটে বিশ্ববিদ্যালয়টিকে academic excellence, research and innovation-এ নিবেদিত প্রতিষ্ঠান হিসেবে উপস্থাপন করা হয়েছে, আর UGC-এর তথ্যেও এর প্রতিষ্ঠাবর্ষ ২০১৮ এবং নেট্রকোনা ক্যাম্পাসের উল্লেখ আছে। বর্তমানে এটি অস্থায়ী ক্যাম্পাস থেকে কার্যক্রম পরিচালনা করছে বলে অফিসিয়াল contact page-এ Technical Training Center, Netrokona-কে temporary campus হিসেবে দেখানো হয়েছে। একই সঙ্গে বিভাগীয় তথ্য থেকে বোঝা যায় যে Bangla, English, Economics, Computer Science &amp; Engineering, History and Archaeology, International Relations, Development Studies, Electrical and Electronic Engineering, Accounting এবং General Education-এর মতো বিভাগ ইতোমধ্যে চালু বা সংগঠিত হয়েছে। এই বিভাগসমূহ থেকে পরিষ্কার যে Netrokona University-কে শুরু থেকেই একটি balanced general university হিসেবে ভাবা হয়েছে, যেখানে মানবিক, সামাজিক বিজ্ঞান, ব্যবসা এবং প্রযুক্তি—সবকিছুর সমন্বয় রয়েছে। নেত্রকোনার মতো একটি জেলায় বিশ্ববিদ্যালয় প্রতিষ্ঠা আঞ্চলিক ভারসাম্যপূর্ণ উচ্চশিক্ষা বিস্তারের দিক থেকে গুরুত্বপূর্ণ, কারণ এতে স্থানীয় শিক্ষার্থীরা নিজ অঞ্চলে থেকেই আধুনিক উচ্চশিক্ষার সুযোগ পাচ্ছে। বিশ্ববিদ্যালয়টির mission research ও innovation-এর ওপর জোর দিলেও এটি এখনো অবকাঠামো, শিক্ষকবল, স্থায়ী ক্যাম্পাস ও গবেষণার বিস্তারের পথে রয়েছে, যা নতুন বিশ্ববিদ্যালয়ের জন্য স্বাভাবিক। একজন শিক্ষার্থীর দৃষ্টিতে এর বিশেষ সুবিধা হলো—এখানে ছোট ও বিকাশমান একাডেমিক পরিবেশের মধ্যে শিক্ষক-শিক্ষার্থী যোগাযোগের সুযোগ তুলনামূলকভাবে কাছের হতে পারে, এবং নতুন বিশ্ববিদ্যালয় হওয়ায় প্রতিষ্ঠাকালীন প্রজন্মের অংশ হওয়ার একটি আলাদা অভিজ্ঞতাও তৈরি হয়। যারা রাজধানীমুখী না হয়ে নিজের অঞ্চলের কাছাকাছি একটি সরকারি বিশ্ববিদ্যালয়ে পড়তে চায়, আবার একই সঙ্গে ভবিষ্যতে বড় হওয়ার সম্ভাবনাসম্পন্ন একটি একাডেমিক প্রতিষ্ঠানের সঙ্গে যুক্ত হতে চায়, তাদের জন্য Netrokona University একটি সম্ভাবনাময় বিকল্প।</t>
  </si>
  <si>
    <t>NEU</t>
  </si>
  <si>
    <t>Netrokona - 2400</t>
  </si>
  <si>
    <t>info@neu.ac.bd</t>
  </si>
  <si>
    <r>
      <rPr>
        <rFont val="Arial"/>
        <b/>
        <color rgb="FF1155CC"/>
        <u/>
      </rPr>
      <t>https://neu.ac.bd</t>
    </r>
  </si>
  <si>
    <r>
      <rPr>
        <rFont val="Arial"/>
        <b/>
        <color rgb="FF1155CC"/>
        <u/>
      </rPr>
      <t>https://gstadmission.ac.bd</t>
    </r>
  </si>
  <si>
    <t>Naogaon University</t>
  </si>
  <si>
    <t>Naogaon University নওগাঁ জেলায় প্রতিষ্ঠিত একটি নতুন সরকারি বিশ্ববিদ্যালয়, যার প্রতিষ্ঠাবর্ষ UGC-এর তথ্য অনুযায়ী ২০২৩। অফিসিয়াল ওয়েবসাইটে বিশ্ববিদ্যালয়টিকে “an enlightened destination” হিসেবে বর্ণনা করা হয়েছে, যা উত্তরাঞ্চলের মানুষের দীর্ঘদিনের স্বপ্ন, সংগ্রাম এবং সম্ভাবনার প্রতিফলন—এই ভাষা থেকে বোঝা যায় যে Naogaon University কেবল একাডেমিক প্রতিষ্ঠান হিসেবে নয়, একটি আঞ্চলিক সামাজিক আকাঙ্ক্ষার ফল হিসেবেও নিজেকে দেখতে চায়। বর্তমানে এটি অস্থায়ী অফিস থেকে কার্যক্রম পরিচালনা করছে; admission page-এ Bypass Road, BorunKandi More, Naogaon-কে temporary office হিসেবে দেখানো হয়েছে। অফিসিয়াল admission ও academic page অনুযায়ী ২০২৫-২৬ শিক্ষাবর্ষে অন্তত Accounting এবং Law বিভাগে ভর্তি-সংক্রান্ত ইউনিটভিত্তিক আসন ও যোগ্যতার তথ্য প্রকাশিত হয়েছে, যা ইঙ্গিত করে যে বিশ্ববিদ্যালয়টি ধাপে ধাপে নিজের বিভাগীয় কাঠামো গড়ে তুলছে। নতুন বিশ্ববিদ্যালয় হওয়ায় এর অবকাঠামো, পূর্ণাঙ্গ অনুষদ, গবেষণা সুবিধা ও ছাত্রজীবনের বহুমাত্রিক পরিবেশ এখনও উন্নয়নশীল পর্যায়ে রয়েছে, কিন্তু এর সবচেয়ে বড় শক্তি হলো—এটি নওগাঁ ও উত্তরাঞ্চলের শিক্ষার্থীদের জন্য স্থানীয়ভাবে সরকারি উচ্চশিক্ষার সুযোগ তৈরি করছে। এমন বিশ্ববিদ্যালয়গুলো সাধারণত শুরুতে ছোট পরিসর থেকে যাত্রা শুরু করলেও পরবর্তীতে আঞ্চলিক গবেষণা, কৃষিনির্ভর অর্থনীতি, সমাজ-উন্নয়ন, ব্যবসা, আইন ও আধুনিক জ্ঞানচর্চার গুরুত্বপূর্ণ কেন্দ্র হয়ে উঠতে পারে। Naogaon University-এর official messaging-এ knowledge, humanity এবং ethical values-এর ওপর জোর দেওয়া হয়েছে, যা একে শুধু degree-oriented নয়, value-oriented প্রতিষ্ঠান হিসেবে উপস্থাপন করে। একজন শিক্ষার্থীর জন্য এর বড় সুবিধা হলো—এখানে ভর্তি হয়ে একটি নতুন বিশ্ববিদ্যালয়ের প্রতিষ্ঠাকালীন academic culture-এর অংশ হওয়া যায়, যেখানে ভবিষ্যৎ বিকাশের সঙ্গে নিজেকেও গড়ে তোলার সুযোগ থাকে। যারা উত্তরবঙ্গে থেকে সরকারি বিশ্ববিদ্যালয় শিক্ষা নিতে চায় এবং ভবিষ্যৎ বিস্তারের সম্ভাবনাময়, ক্রমবর্ধমান একটি প্রতিষ্ঠানে নিজেদের জায়গা তৈরি করতে আগ্রহী, তাদের জন্য Naogaon University একটি উল্লেখযোগ্য পছন্দ।</t>
  </si>
  <si>
    <t>NaU</t>
  </si>
  <si>
    <t>Model Town, Naogaon, Bangladesh</t>
  </si>
  <si>
    <t>registrar@nau.ac.bd</t>
  </si>
  <si>
    <t>https://nau.ac.bd</t>
  </si>
  <si>
    <t>Kishoreganj University</t>
  </si>
  <si>
    <t>Kishoreganj University কিশোরগঞ্জে প্রতিষ্ঠিত একটি উদীয়মান সরকারি বিশ্ববিদ্যালয়, যার প্রতিষ্ঠা ২০২০ সালের আইনের মাধ্যমে এবং যার বিষয়ে অফিসিয়াল about page-এ স্পষ্টভাবে উল্লেখ আছে যে এটি BSMRU-K Act 2020-এর অধীনে গঠিত হয়। বিশ্ববিদ্যালয়টি নিজস্ব পরিচয় গড়ে তোলার লক্ষ্যে academic independence, research culture এবং socially conscious education-এর কথা বলছে, যা official site-এর বার্তায় বিশেষভাবে উঠে এসেছে। UGC-এর তথ্য এবং বিশ্ববিদ্যালয়ের temporary campus-সংক্রান্ত অফিসিয়াল তথ্য থেকে বোঝা যায় যে এটি বর্তমানে Gurudayal Government College-কে অস্থায়ী ক্যাম্পাস হিসেবে ব্যবহার করছে। about page অনুযায়ী প্রথম একাডেমিক কার্যক্রম ২০২১-২২ শিক্ষাবর্ষে চারটি বিভাগ—Computer Science and Engineering, Mathematics, English এবং Accounting—নিয়ে শুরু করার পরিকল্পনা ছিল, এবং বিশ্ববিদ্যালয়ের domain-ভিত্তিক তথ্য থেকে CSE-এর জন্য আলাদা subsite-ও দেখা যায়। এই তথ্যগুলো থেকে বোঝা যায় যে Kishoreganj University শুরু থেকেই প্রযুক্তি, ভাষা, মৌলিক বিজ্ঞান এবং ব্যবসায় শিক্ষার মধ্যে একটি ভারসাম্য আনতে চেয়েছে। নতুন বিশ্ববিদ্যালয় হিসেবে এর সবচেয়ে বড় সম্পদ হলো সম্ভাবনা—অর্থাৎ এটি এখনো কাঠামো নির্মাণের পর্যায়ে, তাই ভবিষ্যতে ৪০টি বিভাগ, ৫টি ইনস্টিটিউট, ৩টি কেন্দ্র এবং আন্তঃবিষয়ক গবেষণা কেন্দ্র গঠনের দৃষ্টিভঙ্গি অফিসিয়াল তথ্যেই উল্লেখ করা হয়েছে। কিশোরগঞ্জ জেলার মতো ঐতিহাসিক ও জনবহুল অঞ্চলে একটি সরকারি বিশ্ববিদ্যালয়ের উপস্থিতি স্থানীয় শিক্ষার্থীদের জন্য বড় পরিবর্তন আনতে পারে, কারণ এতে তাদের ঢাকামুখী হওয়ার চাপ কিছুটা কমে এবং আঞ্চলিকভাবে উচ্চশিক্ষা বিস্তৃত হয়। একজন শিক্ষার্থীর দৃষ্টিতে Kishoreganj University-এর আকর্ষণ হলো—এটি নতুন, তাই একাডেমিক সম্প্রসারণের সঙ্গে নিজেও বেড়ে ওঠার সুযোগ আছে; একই সঙ্গে সরকারি বিশ্ববিদ্যালয়ের কাঠামো, ভবিষ্যৎ ক্যাম্পাস, প্রযুক্তি-সমৃদ্ধ বিভাগ এবং গবেষণার লক্ষ্যের কারণে এটি একটি promising institution। যারা একটি developing but ambitious পাবলিক বিশ্ববিদ্যালয়ে পড়তে চায় এবং নিজেদেরকে প্রতিষ্ঠাকালীন প্রজন্মের অংশ হিসেবে দেখতে আগ্রহী, তাদের জন্য Kishoreganj University একটি তাৎপর্যপূর্ণ নির্বাচন।</t>
  </si>
  <si>
    <t>KiU</t>
  </si>
  <si>
    <t>Boulai, Kishoreganj, Bangladesh</t>
  </si>
  <si>
    <t>registrar@kiu.ac.bd</t>
  </si>
  <si>
    <t>https://kiu.ac.bd</t>
  </si>
  <si>
    <t>https://admission.kiu.ac.bd</t>
  </si>
  <si>
    <t>Jatiya Kabi Kazi Nazrul Islam University</t>
  </si>
  <si>
    <t>Jatiya Kabi Kazi Nazrul Islam University ময়মনসিংহের ত্রিশালে অবস্থিত একটি স্বতন্ত্র সরকারি বিশ্ববিদ্যালয়, যা জাতীয় কবি কাজী নজরুল ইসলামের নাম ধারণ করায় শুরু থেকেই সাহিত্য, সংস্কৃতি, সংগীত, সৃজনশীলতা এবং আধুনিক একাডেমিক জ্ঞানচর্চার এক অনন্য মিলনভূমি হিসেবে পরিচিত। অফিসিয়াল ওয়েবসাইটের departments page থেকে বোঝা যায় যে এখানে Bangla Language and Literature, English Language and Literature, Music, Theatre and Performance Studies, Film and Media Studies, Philosophy, History, Fine Arts, Computer Science and Engineering, Electrical and Electronic Engineering, Environmental Science and Engineering, Statistics, Economics, Public Administration and Governance Studies, Folklore, Anthropology, Population Science, Local Government and Urban Development, Sociology, Accounting and Information Systems, Finance and Banking, Human Resource Management, Management, Marketing এবং Law and Justice-এর মতো বিস্তৃত বিভাগ চালু রয়েছে। এই তালিকা থেকেই বোঝা যায় যে বিশ্ববিদ্যালয়টি একটি বহুমাত্রিক institution—এখানে একদিকে শিল্প ও সংস্কৃতি, অন্যদিকে প্রকৌশল, পরিসংখ্যান, অর্থনীতি, প্রশাসন, ব্যবসায় শিক্ষা এবং সামাজিক বিজ্ঞান সমানভাবে জায়গা পেয়েছে। অফিসিয়াল faculty directory-ও একটি বড় শিক্ষকসমাজের ইঙ্গিত দেয়, যা এর বিস্তৃত একাডেমিক কাঠামোকে সমর্থন করে। ত্রিশালের সাংস্কৃতিক পরিবেশ এবং নজরুল-সম্পর্কিত প্রতীকী পরিচয় এই বিশ্ববিদ্যালয়কে শুধু পাঠদানের জায়গা নয়, বরং বাঙালি সংস্কৃতি, সৃজনশীলতা এবং সামাজিক চেতনারও একটি কেন্দ্র করে তুলেছে। একজন শিক্ষার্থীর জন্য এখানে পড়ার বিশেষ সুবিধা হলো—একই ক্যাম্পাসে media studies, music, fine arts, folklore, literature এবং engineering-এর মতো একেবারে ভিন্নধর্মী বিষয়ের শিক্ষার্থীদের সহাবস্থান ঘটে, ফলে এক ধরনের আন্তঃবিষয়ক ও সমৃদ্ধ সাংস্কৃতিক বিশ্ববিদ্যালয়জীবন তৈরি হয়। ছাত্রজীবনের স্বাভাবিক পরিসরে সাংস্কৃতিক অনুষ্ঠান, নাটক, সংগীত, সাহিত্যচর্চা, debate, সামাজিক কার্যক্রম এবং academic seminar—সবকিছুরই সম্ভাবনা বেশি। যারা এমন একটি সরকারি বিশ্ববিদ্যালয় খোঁজে যেখানে জাতীয় সংস্কৃতির প্রতীকী শক্তি, মানবিক বিদ্যার গভীরতা এবং সমসাময়িক প্রযুক্তি ও ব্যবসায় শিক্ষার সমন্বয় আছে, তাদের জন্য Jatiya Kabi Kazi Nazrul Islam University একটি অত্যন্ত অর্থবহ ও স্বাতন্ত্র্যময় পছন্দ।</t>
  </si>
  <si>
    <t>JKKNIU</t>
  </si>
  <si>
    <t>Trishal, Mymensingh, Bangladesh</t>
  </si>
  <si>
    <t>registrar@jkkniu.edu.bd</t>
  </si>
  <si>
    <t>https://jkkniu.edu.bd</t>
  </si>
  <si>
    <t>Jamalpur Science and Technology University</t>
  </si>
  <si>
    <t>Jamalpur Science and Technology University বা JSTU জামালপুরের মেলান্দহে অবস্থিত একটি সরকারি বিজ্ঞান ও প্রযুক্তি বিশ্ববিদ্যালয়, যা ২০১৭ সালের ২৮ নভেম্বর আইন নং ২৪-এর মাধ্যমে প্রতিষ্ঠিত হয় এবং অফিসিয়াল সাইট অনুযায়ী আজও দ্রুত বিকাশমান একটি একাডেমিক প্রতিষ্ঠান হিসেবে এগোচ্ছে। সাম্প্রতিক অফিসিয়াল তথ্য থেকে বোঝা যায় যে এখানে undergraduate studies, graduate studies, research, scholarship opportunities, international students support, library, alumni, departments and institutes এবং faculties-ভিত্তিক একটি সংগঠিত কাঠামো তৈরি হয়েছে। department list page-এ Computer Science and Engineering, Electrical and Electronic Engineering, Mathematics, Fisheries, Geology, Management এবং Social Work বিভাগ দেখা যায়, যা একদিকে বিজ্ঞান ও প্রযুক্তিভিত্তিক পড়াশোনা, অন্যদিকে ব্যবসা ও সামাজিক বিজ্ঞানের সমন্বিত দৃষ্টিভঙ্গি তুলে ধরে। বিশ্ববিদ্যালয়ের সম্পর্কে দেওয়া অফিসিয়াল তথ্য অনুযায়ী এর বর্তমান ভাইস চ্যান্সেলর ২০২৪ সালের অক্টোবর থেকে দায়িত্বে আছেন, যা প্রতিষ্ঠানের চলমান প্রশাসনিক গতি ও সম্প্রসারণের ইঙ্গিত দেয়। নতুন হলেও JSTU ইতোমধ্যে research areas, centers, scholarship, international student-related services এবং structured admission ব্যবস্থা চালু করেছে, যা দেখায় যে এটি কেবল নামমাত্র নতুন বিশ্ববিদ্যালয় নয়, বরং ধাপে ধাপে পূর্ণাঙ্গ বিজ্ঞান ও প্রযুক্তিভিত্তিক ক্যাম্পাসে পরিণত হওয়ার পথে রয়েছে। জামালপুর অঞ্চলের শিক্ষার্থীদের জন্য এর বিশেষ গুরুত্ব হলো—এটি নিজ জেলায় থেকেই আধুনিক বিশ্ববিদ্যালয় শিক্ষা, প্রযুক্তিভিত্তিক দক্ষতা ও গবেষণার সুযোগ তৈরি করছে। একটি নতুন বিশ্ববিদ্যালয়ে সাধারণত প্রতিষ্ঠাকালীন প্রজন্মের শিক্ষার্থীরা বেশি ঘনিষ্ঠ শিক্ষক-শিক্ষার্থী সম্পর্ক, ছোট ব্যাচ এবং প্রশাসনিক পরিবর্তনের সঙ্গে সরাসরি যুক্ত থাকার অভিজ্ঞতা পায়; JSTU-তেও সেই সম্ভাবনা আছে। CSE, EEE, Mathematics, Geology ও Fisheries-এর মতো বিষয়গুলো ভবিষ্যৎ চাকরির বাজার ও higher studies-এর দিক থেকেও মূল্যবান। যারা উত্তর-মধ্য বাংলাদেশের একটি growing public science and technology university-তে পড়ে নিজেদের প্রযুক্তি, গবেষণা ও পেশাগত পরিচয় গড়তে চায়, তাদের জন্য Jamalpur Science and Technology University একটি সম্ভাবনাময় ও কৌশলগত গন্তব্য।</t>
  </si>
  <si>
    <t>JSTU</t>
  </si>
  <si>
    <t>Melandaha, Jamalpur, Bangladesh</t>
  </si>
  <si>
    <t>registrar@jstu.ac.bd</t>
  </si>
  <si>
    <t>https://jstu.ac.bd</t>
  </si>
  <si>
    <t>Gopalganj Science and Technology University</t>
  </si>
  <si>
    <t>Gopalganj Science and Technology University বা GSTU-এর অফিসিয়াল ওয়েব উপস্থিতি থেকে বোঝা যায় যে এটি বিজ্ঞান ও প্রযুক্তিকেন্দ্রিক একটি বিশ্ববিদ্যালয়, যা teaching, research এবং innovation-এ জোর দিচ্ছে। অফিসিয়াল সাইটের বিভিন্ন পেজে প্রতিষ্ঠানটিকে ২০০১ সালে প্রতিষ্ঠিত বলে উল্লেখ করা হয়েছে এবং vice-chancellor message-এ research and innovation-কে বিশ্ববিদ্যালয়ের মূল লক্ষ্যগুলোর একটি হিসেবে তুলে ধরা হয়েছে। faculties page-এ Engineering Faculty এবং Science Faculty-এর অধীনে Computer Science and Engineering, Electrical and Electronic Engineering, Electronics and Telecommunication Engineering, Applied Chemistry and Chemical Engineering, Civil Engineering, Food and Agroprocess Engineering, Architecture এবং Mathematics-এর মতো বিভাগ দেখা যায়। আলাদা department page-এ Electrical and Electronic Engineering বিভাগের ২০১২ সালে প্রতিষ্ঠিত হওয়ার কথাও উল্লেখ আছে। official ICT cell page-এ library, clubs, residence halls, foreign students, university act, scholarships and awards-এর মতো একাধিক প্রাতিষ্ঠানিক সুবিধার ইঙ্গিত মেলে, যা দেখায় যে বিশ্ববিদ্যালয়টি শুধু বিভাগ খোলা নয়, বরং একটি বহুমাত্রিক campus ecosystem তৈরি করার দিকেও কাজ করেছে। তবে এখানে একটি গুরুত্বপূর্ণ বিষয় হলো—এই বিশ্ববিদ্যালয়টি তুলনামূলক কম আলোচিত এবং এর প্রশাসনিক/ঐতিহাসিক প্রেক্ষাপট সম্পর্কে বিস্তৃত সরকারি সারসংক্ষেপ সহজে উন্মুক্ত উৎসে পাওয়া যায় না, তাই এর সম্পর্কে নিশ্চিতভাবে বলার সময় অফিসিয়াল সাইট-নির্ভর তথ্যকেই বেশি গুরুত্ব দেওয়া উচিত। একজন শিক্ষার্থীর জন্য GSTU-এর মূল আকর্ষণ হতে পারে এর applied science ও engineering focus, বিশেষত CSE, EEE, ETE, architecture ও food/agroprocess engineering-এর মতো বিভাগসমূহ। গোপালগঞ্জ অঞ্চলে প্রযুক্তিভিত্তিক শিক্ষার চাহিদা বিবেচনায় এমন একটি প্রতিষ্ঠান স্থানীয় শিক্ষার্থীদের জন্য নতুন ধরনের পেশাগত ও গবেষণামূলক সুযোগ তৈরি করতে পারে। যারা তুলনামূলক কম প্রচারিত কিন্তু science and technology-oriented পরিবেশে পড়তে আগ্রহী, তাদের জন্য Gopalganj Science and Technology University একটি আগ্রহজনক বিকল্প হতে পারে, তবে ভর্তি সিদ্ধান্তের আগে সর্বশেষ প্রশাসনিক ও একাডেমিক তথ্য অফিসিয়াল ওয়েবসাইট থেকেই মিলিয়ে নেওয়া বুদ্ধিমানের কাজ হবে।</t>
  </si>
  <si>
    <t>GSTU</t>
  </si>
  <si>
    <t>Gopalganj-8100, Bangladesh</t>
  </si>
  <si>
    <t>registrar@gstu.edu.bd</t>
  </si>
  <si>
    <t>https://gstu.edu.bd</t>
  </si>
  <si>
    <t>https://www.gstu.edu.bd/admission</t>
  </si>
  <si>
    <t>Chandpur Science and Technology University</t>
  </si>
  <si>
    <t>Chandpur Science and Technology University বা CSTU চাঁদপুরে প্রতিষ্ঠিত একটি নতুন সরকারি বিশ্ববিদ্যালয়, যা বিজ্ঞান, প্রযুক্তি এবং ব্যবসায় শিক্ষাকে কেন্দ্র করে নিজের একাডেমিক কাঠামো গড়ে তুলছে। অফিসিয়াল সাইটের history page অনুযায়ী বিশ্ববিদ্যালয়টি ২০২১-২২ সেশন থেকে একাডেমিক কার্যক্রম শুরু করে এবং UGC-এর অনুমোদনে প্রাথমিকভাবে দুইটি অনুষদের অধীনে শিক্ষা পরিচালিত হচ্ছে: Faculty of Engineering and Technology এবং Faculty of Business Studies। official at-a-glance page-এ স্পষ্টভাবে বলা হয়েছে যে Science and Engineering Faculty-এর অধীনে Computer Science and Engineering এবং Information and Communication Technology বিভাগ রয়েছে, আর Business Studies Faculty-এর অধীনে Business Administration-ধর্মী প্রোগ্রাম পরিচালিত হয়। mission and vision page-এ advanced learning through teaching and research-এর পাশাপাশি science, technology, engineering, marine engineering, fisheries, management and business studies-এর মতো ভবিষ্যৎমুখী বিষয়গুলোর ওপর জোর দেওয়া হয়েছে, যা ইঙ্গিত করে যে বিশ্ববিদ্যালয়টি পরবর্তীতে আরও বিস্তৃত অনুষদ ও বিভাগ চালু করতে পারে। নতুন প্রতিষ্ঠান হওয়ায় এর কাঠামো এখনও বিকাশমান, কিন্তু এই বিকাশমান অবস্থাই অনেক শিক্ষার্থীর জন্য সুযোগ—কারণ তারা শুরু থেকেই এক নতুন ক্যাম্পাস সংস্কৃতি, বিভাগীয় পরিচয় এবং বিশ্ববিদ্যালয়ের growth story-র অংশ হতে পারে। চাঁদপুরের ভৌগোলিক অবস্থান ও নদীমাতৃক অর্থনৈতিক বাস্তবতা বিবেচনায় ICT, CSE, business analytics, management, fisheries ও marine-related research ভবিষ্যতে এই বিশ্ববিদ্যালয়ের জন্য বিশেষ ক্ষেত্র হয়ে উঠতে পারে। একজন শিক্ষার্থীর দৃষ্টিতে CSTU-এর বড় সুবিধা হলো—এটি একটি নতুন সরকারি বিশ্ববিদ্যালয়, যেখানে তুলনামূলকভাবে focused program structure, ছোট পরিসরের academic environment এবং প্রযুক্তিনির্ভর ভবিষ্যৎ গড়ার ambition একসঙ্গে কাজ করছে। যারা science, ICT, computing বা business studies-এ সরকারি বিশ্ববিদ্যালয়ের সুযোগ খুঁজছে এবং দ্রুত বাড়তে থাকা একটি প্রতিষ্ঠানের অংশ হতে চায়, তাদের জন্য Chandpur Science and Technology University একটি promising destination।</t>
  </si>
  <si>
    <t>CSTU</t>
  </si>
  <si>
    <t>Kholishaduli, Chandpur, Bangladesh</t>
  </si>
  <si>
    <t>info@cstu.ac.bd</t>
  </si>
  <si>
    <t>https://www.cstu.ac.bd</t>
  </si>
  <si>
    <t>https://admission.cstu.ac.bd</t>
  </si>
  <si>
    <t>Begum Rokeya University</t>
  </si>
  <si>
    <t>Begum Rokeya University, Rangpur বা BRUR রংপুরে অবস্থিত একটি গুরুত্বপূর্ণ সরকারি বিশ্ববিদ্যালয়, যা ২০০৮ সালে প্রতিষ্ঠিত হয় এবং উত্তরবঙ্গের সাধারণ উচ্চশিক্ষার ক্ষেত্রে একটি ঐতিহাসিক শূন্যতা পূরণ করে। অফিসিয়াল সাইট ও বিভিন্ন নির্ভরযোগ্য সূত্রে এটিকে Rangpur Division-এর একমাত্র general category public university হিসেবে উল্লেখ করা হয়েছে, যা এর আঞ্চলিক গুরুত্বকে আরও স্পষ্ট করে। BRUR-এর campus Park Mor, Modern, Rangpur এলাকায় অবস্থিত এবং বর্তমান তথ্য অনুযায়ী এখানে একাধিক অনুষদ, ২২টির মতো বিভাগ, library, halls এবং research-supportive academic structure রয়েছে। Deans of Faculties ও faculty information থেকে বোঝা যায় যে Arts, Social Science, Business Studies, Science, Engineering and Technology, এবং Life and Earth Sciences—এসব ধারায় এর একাডেমিক বিস্তার গড়ে উঠেছে। Wikipedia-ভিত্তিক সংকলিত তথ্য, যা অফিসিয়াল কাঠামোর সঙ্গে সঙ্গতিপূর্ণ, সেখানে Bangla, English, History and Archaeology, Economics, Sociology, Political Science, Gender and Development Studies, Mass Communication and Journalism, Public Administration, Accounting and Information Systems, Management Studies, Marketing, Finance and Banking, MIS, Mathematics, Statistics, Physics, Chemistry, Computer Science and Engineering, EEE, Geography and Environmental Science এবং Disaster Management-এর মতো বিভাগ তালিকাভুক্ত আছে। এই বিভাগসমূহ থেকে বোঝা যায় যে BRUR উত্তরবঙ্গের শিক্ষার্থীদের জন্য বিজ্ঞান, ব্যবসা, প্রযুক্তি, সামাজিক বিজ্ঞান ও মানবিক বিদ্যার বিস্তৃত সুযোগ একত্রে দিচ্ছে। গবেষণার ক্ষেত্রেও এটি ধীরে ধীরে শক্তিশালী হচ্ছে; library and information center, MPhil/PhD-oriented research institute এবং expanding campus facilities এর অংশ। একজন শিক্ষার্থীর জন্য BRUR-এর বড় সুবিধা হলো—এটি উত্তরাঞ্চলে থেকেই একটি সরকারি বিশ্ববিদ্যালয়ের পূর্ণাঙ্গ অভিজ্ঞতা পাওয়ার সুযোগ দেয়, যেখানে আঞ্চলিক বাস্তবতার সঙ্গে যুক্ত গবেষণা, বিষয়বৈচিত্র্য এবং তুলনামূলকভাবে কম কেন্দ্রিক প্রতিযোগিতার পরিবেশ রয়েছে। যারা রংপুর ও আশপাশের অঞ্চল থেকে উঠে এসে নিজ অঞ্চলে উচ্চশিক্ষার শক্ত ভিত গড়তে চায়, তাদের জন্য Begum Rokeya University একটি অত্যন্ত গুরুত্বপূর্ণ, বাস্তবসম্মত এবং ক্রমবর্ধমান মর্যাদাসম্পন্ন প্রতিষ্ঠান।</t>
  </si>
  <si>
    <t>BRUR</t>
  </si>
  <si>
    <t>Modern Mor, Rangpur - 5400</t>
  </si>
  <si>
    <t>office.registrar@brur.ac.bd</t>
  </si>
  <si>
    <r>
      <rPr>
        <rFont val="Arial"/>
        <b/>
        <color rgb="FF1155CC"/>
        <u/>
      </rPr>
      <t>https://brur.ac.bd</t>
    </r>
  </si>
  <si>
    <r>
      <rPr>
        <rFont val="Arial"/>
        <b/>
        <color rgb="FF1155CC"/>
        <u/>
      </rPr>
      <t>https://gstadmission.ac.bd</t>
    </r>
  </si>
  <si>
    <t>Narayanganj University</t>
  </si>
  <si>
    <t>Narayanganj University নামে আপনি যে নামটি দিয়েছেন, বর্তমান সরকারি ও নির্ভরযোগ্য উন্মুক্ত তথ্য অনুযায়ী এর আনুষ্ঠানিক পরিচয় Narayanganj University of Science and Technology বা Narayanganj Science and Technology University। ২০২৩ সালে আইনগতভাবে বিশ্ববিদ্যালয়টি অনুমোদিত হয়েছে বলে একাধিক নির্ভরযোগ্য সূত্রে উল্লেখ আছে। তবে এখানে একটি অত্যন্ত গুরুত্বপূর্ণ বিষয় হলো—২০২৫ সালের মে মাসে UGC এবং সংবাদমাধ্যমভিত্তিক নির্ভরযোগ্য প্রতিবেদনে স্পষ্টভাবে বলা হয় যে এই বিশ্ববিদ্যালয়ের কোনো প্রশাসনিক বা একাডেমিক কার্যক্রম তখনও শুরু হয়নি, এবং একটি ভুয়া ওয়েবসাইটের মাধ্যমে ভর্তি-সংক্রান্ত বিভ্রান্তি তৈরি হওয়ায় UGC শিক্ষার্থী ও অভিভাবকদের সতর্ক করেছিল। এই তথ্যের অর্থ হলো, বিশ্ববিদ্যালয়টি আইনি/প্রশাসনিক অনুমোদন পেলেও কার্যকর পূর্ণাঙ্গ একাডেমিক প্রতিষ্ঠান হিসেবে এখনও প্রতিষ্ঠার প্রাথমিক পর্যায়ে রয়েছে। তবু নারায়ণগঞ্জের ভৌগোলিক ও অর্থনৈতিক গুরুত্ব বিবেচনায় এমন একটি বিজ্ঞান ও প্রযুক্তি বিশ্ববিদ্যালয়ের সম্ভাবনা অত্যন্ত বড়। নারায়ণগঞ্জ বাংলাদেশের অন্যতম শিল্পনগরী; বস্ত্রশিল্প, বাণিজ্য, নদীবন্দর, নগরায়ণ, উৎপাদন ও supply-chain activity-র জন্য এই অঞ্চল দীর্ঘদিন ধরে গুরুত্বপূর্ণ। ফলে ভবিষ্যতে যদি বিশ্ববিদ্যালয়টি পূর্ণ কার্যক্রমে আসে, তাহলে engineering, textile technology, industrial management, ICT, applied science, urban development এবং business-related গবেষণা ও শিক্ষার জন্য এটি একটি অত্যন্ত কৌশলগত প্রতিষ্ঠানে পরিণত হতে পারে। একজন শিক্ষার্থীর দৃষ্টিতে এখনই এটিকে সক্রিয় বিশ্ববিদ্যালয় হিসেবে বিবেচনা করা ঠিক হবে না; বরং এটি একটি “approved but not yet fully operational” উদ্যোগ হিসেবে দেখা বেশি সঠিক। তাই এই প্রতিষ্ঠানের ব্যাপারে আগ্রহী কেউ ভর্তি বা একাডেমিক সিদ্ধান্ত নেওয়ার আগে UGC এবং সরকারের সর্বশেষ অফিসিয়াল আপডেট অবশ্যই যাচাই করবেন। আপনার Excel-সিরিয়াল বজায় রেখে এন্ট্রিটি রাখা হলো, তবে বাস্তবতার নিরিখে এটিই এই বিশ্ববিদ্যালয় সম্পর্কে এখন সবচেয়ে গুরুত্বপূর্ণ এবং যাচাইযোগ্য তথ্য।</t>
  </si>
  <si>
    <t>Narayanganj Sadar</t>
  </si>
  <si>
    <t>info@nuy.ac.bd</t>
  </si>
  <si>
    <t>https://nuy.ac.bd</t>
  </si>
  <si>
    <t>Meherpur University</t>
  </si>
  <si>
    <t>Meherpur University মেহেরপুর জেলার একটি নতুন সরকারি বিশ্ববিদ্যালয়, যা ২০২৩ সালে প্রতিষ্ঠিত হয় এবং বর্তমানে অস্থায়ী ক্যাম্পাস হিসেবে Meherpur Government College ও অস্থায়ী অফিস থেকে কার্যক্রম পরিচালনা করছে। বিশ্ববিদ্যালয়টির অফিসিয়াল সাইটে মেহেরপুরকে বাংলাদেশের স্বাধীনতার ইতিহাসের সঙ্গে যুক্ত “golden letters”-এর জেলা হিসেবে তুলে ধরা হয়েছে, আর UGC-র তথ্যেও এর temporary campus ও temporary office-এর ঠিকানা দেওয়া আছে। এই ঐতিহাসিক প্রেক্ষাপট Meherpur University-কে একটি প্রতীকী মর্যাদা দেয়, কারণ এটি শুধু নতুন একটি উচ্চশিক্ষা প্রতিষ্ঠান নয়, বরং মুক্তিযুদ্ধের স্মৃতিবাহী একটি অঞ্চলে জ্ঞানচর্চার নতুন কেন্দ্র গড়ে তোলার উদ্যোগ। যেহেতু এটি এখনো উন্নয়নশীল পর্যায়ের বিশ্ববিদ্যালয়, তাই পূর্ণাঙ্গ অনুষদ, বিভাগ, গবেষণাগার, আবাসিক হল ও বড় ক্যাম্পাসজীবন এখনও ধাপে ধাপে নির্মিত হচ্ছে; তবে এই পর্যায়ের মধ্যেই বিশ্ববিদ্যালয়টি নিজেকে inquiry, opportunity এবং future generations-কে ক্ষমতায়নের প্রতিশ্রুতিশীল প্রতিষ্ঠান হিসেবে উপস্থাপন করছে। নতুন বিশ্ববিদ্যালয় হিসেবে এর সবচেয়ে বড় সম্ভাবনা হলো স্থানীয় শিক্ষার্থীদের নিজ জেলায় বা কাছাকাছি সরকারি বিশ্ববিদ্যালয় শিক্ষা পাওয়ার সুযোগ তৈরি করা, যা আগে তুলনামূলকভাবে সীমিত ছিল। ভবিষ্যতে মানবিক, সামাজিক বিজ্ঞান, ব্যবসায় শিক্ষা, বিজ্ঞান ও প্রযুক্তিভিত্তিক বিভাগ চালু হওয়ার মাধ্যমে এটি পশ্চিমাঞ্চলের একটি গুরুত্বপূর্ণ আঞ্চলিক বিশ্ববিদ্যালয়ে রূপ নিতে পারে। একজন শিক্ষার্থীর জন্য Meherpur University-তে পড়া মানে একটি growing institution-এর founding generation-এর অংশ হওয়া, যেখানে বিশ্ববিদ্যালয়ের নিজস্ব সংস্কৃতি, একাডেমিক ঐতিহ্য ও অবকাঠামো নির্মাণের সঙ্গে নিজের শিক্ষাজীবনের বিকাশ একসঙ্গে এগোতে পারে। যাঁরা নতুন কিন্তু সরকারি, সম্ভাবনাময় এবং ঐতিহাসিক-প্রতীকী গুরুত্বসম্পন্ন একটি বিশ্ববিদ্যালয়ে পড়তে চান, তাঁদের জন্য Meherpur University একটি উল্লেখযোগ্য ও ভবিষ্যতমুখী বিকল্প।</t>
  </si>
  <si>
    <t>MU</t>
  </si>
  <si>
    <t>Mujibnagar, Meherpur-7110</t>
  </si>
  <si>
    <t>meherpuruniversity@gmail.com</t>
  </si>
  <si>
    <t>https://www.mum.ac.bd</t>
  </si>
  <si>
    <t xml:space="preserve">4.GST (Science &amp; Technology) </t>
  </si>
  <si>
    <t>Mawlana Bhashani Science and Technology University</t>
  </si>
  <si>
    <t>Mawlana Bhashani Science and Technology University বা MBSTU টাঙ্গাইলের সন্তোষে অবস্থিত বাংলাদেশের অন্যতম সুপরিচিত পাবলিক বিজ্ঞান ও প্রযুক্তি বিশ্ববিদ্যালয়, যা ১৯৯৯ সালে প্রতিষ্ঠিত হয় এবং সময়ের সঙ্গে একটি পূর্ণাঙ্গ বহুবিষয়ভিত্তিক প্রতিষ্ঠানে পরিণত হয়েছে। বিশ্ববিদ্যালয়টির অফিসিয়াল সাইটে একে academic excellence and research-এর leading center বলা হয়েছে, এবং faculties page-এ দেখা যায় যে এখানে Engineering, Life Science, Science, Business Studies, Social Science, Arts এবং Veterinary Medicine and Animal Sciences-সহ একাধিক ফ্যাকাল্টির অধীনে Computer Science and Engineering, ICT, Textile Engineering, Mechanical Engineering, Environmental Science and Resource Management, Criminology and Police Science, Food Technology and Nutritional Science, Biotechnology and Genetic Engineering, Biochemistry and Molecular Biology, Pharmacy, Chemistry, Mathematics, Physics, Statistics, Business Administration, Accounting, Management, Economics এবং English-এর মতো শক্তিশালী বিভাগ রয়েছে। এই বিস্তৃত কাঠামো বিশ্ববিদ্যালয়টিকে শুধু একটি প্রযুক্তি বিশ্ববিদ্যালয় নয়, বরং science-to-society সংযোগভিত্তিক আধুনিক বহুমাত্রিক বিশ্ববিদ্যালয়ে রূপ দিয়েছে। এর কেন্দ্রীয় লাইব্রেরি, Research Centre, Research Cell, IQAC, ICT Cell, residential halls, students’ welfare and counseling support এবং campus life services শিক্ষার্থীদের একাডেমিক ও ব্যক্তিগত বিকাশে সহায়তা করে। টাঙ্গাইলের অবস্থানগত সুবিধা, ঢাকার তুলনামূলক নিকটতা এবং বিস্তৃত বিষয়পছন্দ MBSTU-কে শিক্ষার্থীদের কাছে আকর্ষণীয় করে তোলে। এখানে পড়াশোনার বিশেষ মূল্য হলো—একই ক্যাম্পাসে engineering, biological science, data-oriented science, business এবং social thought-এর সমন্বয় পাওয়া যায়, ফলে আন্তঃবিষয়ক দৃষ্টিভঙ্গি তৈরি হয়। নতুন ranking তথ্যসূত্রে MBSTU-র আঞ্চলিক ও বৈশ্বিক দৃশ্যমানতাও উল্লেখ করা হয়েছে, যা এর গবেষণা ও একাডেমিক মানের আন্তর্জাতিক স্বীকৃতির ইঙ্গিত দেয়। যে শিক্ষার্থী বিজ্ঞান-প্রযুক্তি ভিত্তিক কিন্তু একই সঙ্গে বহুবিষয়িক এবং গবেষণাসমর্থ বিশ্ববিদ্যালয়জীবন চায়, তার জন্য Mawlana Bhashani Science and Technology University একটি সুপ্রতিষ্ঠিত, সম্ভাবনাময় এবং ক্যারিয়ার-সহায়ক সিদ্ধান্ত।</t>
  </si>
  <si>
    <t>MBSTU</t>
  </si>
  <si>
    <t>Santosh, Tangail - 1902</t>
  </si>
  <si>
    <t>registrar@mbstu.ac.bd</t>
  </si>
  <si>
    <r>
      <rPr>
        <rFont val="Arial"/>
        <b/>
        <color rgb="FF1155CC"/>
        <u/>
      </rPr>
      <t>https://mbstu.ac.bd</t>
    </r>
  </si>
  <si>
    <r>
      <rPr>
        <rFont val="Arial"/>
        <b/>
        <color rgb="FF1155CC"/>
        <u/>
      </rPr>
      <t>https://gstadmission.ac.bd</t>
    </r>
  </si>
  <si>
    <t xml:space="preserve">GST (Science &amp; Technology) </t>
  </si>
  <si>
    <t>Sunamganj Science and Technology University</t>
  </si>
  <si>
    <t>Sunamganj Science and Technology University বা SSTU সুনামগঞ্জে প্রতিষ্ঠিত একটি নতুন সরকারি বিজ্ঞান ও প্রযুক্তি বিশ্ববিদ্যালয়, যা হাওরবেষ্টিত ভৌগোলিক অঞ্চলে আধুনিক উচ্চশিক্ষা বিস্তারের একটি গুরুত্বপূর্ণ উদ্যোগ। বিশ্ববিদ্যালয়ের অফিসিয়াল সাইটে একে academic excellence, research and innovation-এ প্রতিশ্রুতিবদ্ধ প্রতিষ্ঠান হিসেবে উপস্থাপন করা হয়েছে, এবং সেখানে campus life, research &amp; extension, library, residence halls, student organizations, IT support ও admission কাঠামোর উপস্থিতি দেখা যায়। উন্মুক্ত উৎসে প্রতিষ্ঠাবর্ষ ২০২০ হিসেবে উল্লেখ আছে, যা এটিকে দেশের নতুন প্রজন্মের পাবলিক বিশ্ববিদ্যালয়গুলোর মধ্যে স্থান দেয়। এই বিশ্ববিদ্যালয়ের স্বাতন্ত্র্য হলো এর অবস্থানগত বাস্তবতা: সুনামগঞ্জের হাওরাঞ্চল, জলভূমি, পরিবেশগত চ্যালেঞ্জ, কৃষি, জলবায়ু ও আঞ্চলিক উন্নয়নের প্রশ্নগুলো ভবিষ্যতে SSTU-র গবেষণা, উদ্ভাবন ও নীতি-সংলগ্ন শিক্ষার জন্য বিশেষ ক্ষেত্র হতে পারে। নতুন বিশ্ববিদ্যালয় হওয়ায় পূর্ণাঙ্গ বিভাগীয় বিস্তার, বড় অ্যালামনাই নেটওয়ার্ক বা দীর্ঘ ঐতিহ্য এখনো তৈরি হচ্ছে, কিন্তু এই developmental stage-ই অনেক শিক্ষার্থীর জন্য সুযোগ—কারণ তারা একটি emerging institution-এর প্রথম দিককার অংশীদার হতে পারে। অফিসিয়াল সাইটে scholarship, admissions, campus services এবং student support-এর উপস্থিতি এ ইঙ্গিত দেয় যে বিশ্ববিদ্যালয়টি দ্রুত কাঠামোবদ্ধ হতে চায়। একজন শিক্ষার্থীর দৃষ্টিতে SSTU-তে পড়ার বড় সুবিধা হলো—নিজ অঞ্চলের কাছাকাছি সরকারি বিজ্ঞান ও প্রযুক্তি শিক্ষা, তুলনামূলকভাবে নতুন ও attention-rich academic environment, এবং ভবিষ্যতে growing university culture-এর অংশ হওয়ার সুযোগ। যারা সুনামগঞ্জ ও আশপাশের অঞ্চল থেকে উঠে এসে science, technology, innovation এবং regional relevance-এর সমন্বয়ে উচ্চশিক্ষা নিতে চায়, তাদের জন্য Sunamganj Science and Technology University একটি সম্ভাবনাময় ও কৌশলগত নির্বাচন।</t>
  </si>
  <si>
    <t>SSTU</t>
  </si>
  <si>
    <t>Shantiganj, Sunamganj-3000</t>
  </si>
  <si>
    <t>info@sstu.ac.bd</t>
  </si>
  <si>
    <t>https://sstu.ac.bd</t>
  </si>
  <si>
    <t>Satkhira Science and Technology University</t>
  </si>
  <si>
    <t>Satkhira Science and Technology University বাংলাদেশের সাতক্ষীরায় প্রতিষ্ঠিত একটি নতুন সরকারি বিজ্ঞান ও প্রযুক্তি বিশ্ববিদ্যালয়, যার আইনগত ভিত্তি ২০২৩ সালের Satkhira Science and Technology University Act। বাংলাদেশ সরকারের আইনভিত্তিক উৎসে স্পষ্টভাবে উল্লেখ আছে যে এই আইনের মাধ্যমে সাতক্ষীরা জেলায় এই বিশ্ববিদ্যালয় প্রতিষ্ঠিত হয়েছে। উন্মুক্ত তথ্যসূত্রে এটিকে ২০২৩ সালে প্রতিষ্ঠিত, UGC-অধিভুক্ত এবং খুলনা বিভাগের দ্বিতীয় বিজ্ঞান ও প্রযুক্তি বিশ্ববিদ্যালয় হিসেবে বর্ণনা করা হয়েছে। যেহেতু এটি একেবারেই নতুন প্রতিষ্ঠান, তাই পূর্ণাঙ্গ অফিসিয়াল একাডেমিক ওয়েব উপস্থিতি, বিস্তৃত বিভাগতালিকা, গবেষণাকেন্দ্র, গ্রন্থাগার বা ছাত্রজীবনসংক্রান্ত তথ্য এখনও সীমিত; তাই এই বিশ্ববিদ্যালয় সম্পর্কে সবচেয়ে নির্ভরযোগ্য কথা হলো—এটি এখনো গঠনপর্যায়ে থাকা একটি public science and technology university। সাতক্ষীরা উপকূলীয়, জলবায়ু-ঝুঁকিপূর্ণ ও পরিবেশগতভাবে সংবেদনশীল এলাকা হওয়ায় ভবিষ্যতে এই বিশ্ববিদ্যালয়ে environmental science, disaster studies, agriculture-tech, ICT, water management এবং coastal resilience-সংক্রান্ত শিক্ষা ও গবেষণার বিশেষ সম্ভাবনা রয়েছে। একজন শিক্ষার্থীর জন্য এর তাৎপর্য হলো—এটি সাতক্ষীরা ও আশপাশের অঞ্চলের শিক্ষার্থীদের জন্য স্থানীয়ভাবে সরকারি বিজ্ঞান ও প্রযুক্তি শিক্ষা পাওয়ার নতুন দরজা খুলে দিচ্ছে। যদিও এখনই এটিকে দীর্ঘ ঐতিহ্যসমৃদ্ধ বা fully developed campus university বলা যাবে না, তবু district-based higher education expansion-এর বৃহত্তর প্রেক্ষাপটে এটি একটি গুরুত্বপূর্ণ পদক্ষেপ। যারা ভবিষ্যৎমুখী, নতুন এবং আঞ্চলিকভাবে গুরুত্বপূর্ণ একটি প্রতিষ্ঠানের অংশ হতে চায়, তাদের জন্য Satkhira Science and Technology University একটি সম্ভাবনাময় নাম, তবে ভর্তি বা একাডেমিক পরিকল্পনার আগে সর্বশেষ সরকারি আপডেট যাচাই করা বিশেষভাবে জরুরি।</t>
  </si>
  <si>
    <t>SATSTU</t>
  </si>
  <si>
    <t>Satkhira</t>
  </si>
  <si>
    <t>www.satstu.ac.bd</t>
  </si>
  <si>
    <t>gstadmission.ac.bd</t>
  </si>
  <si>
    <t>Rangamati Science and Technology University</t>
  </si>
  <si>
    <t>Rangamati Science and Technology University বা RMSTU পার্বত্য চট্টগ্রাম অঞ্চলের প্রথম পাবলিক বিশ্ববিদ্যালয় হিসেবে বিশেষ ঐতিহাসিক গুরুত্ব বহন করে। অফিসিয়াল সাইটে বলা হয়েছে যে এটি ২০০১ সালের আইন অনুযায়ী প্রতিষ্ঠিত হলেও বিভিন্ন প্রশাসনিক ও আঞ্চলিক জটিলতায় পূর্ণ বিকাশে সময় লেগেছে; উন্মুক্ত নির্ভরযোগ্য তথ্যসূত্রে প্রতিষ্ঠাবর্ষ ২০১৪ এবং ২০১৫ সালে প্রথম ব্যাচের ক্লাস শুরু হওয়ার কথা উল্লেখ আছে। রাঙামাটির ঝাগড়াবিল এলাকায় অবস্থিত এই বিশ্ববিদ্যালয় ভৌগোলিক, নৃতাত্ত্বিক ও সাংস্কৃতিক বৈচিত্র্যের এক বিশেষ অঞ্চলে উচ্চশিক্ষার সুযোগ তৈরি করেছে। অফিসিয়াল ও উন্মুক্ত তথ্য মিলিয়ে দেখা যায় যে এখানে Engineering and Technology, Biological Science, Agricultural Science এবং Business Studies-ভিত্তিক কাঠামো গড়ে উঠেছে; বিভাগগুলোর মধ্যে Computer Science and Engineering, Forestry and Environmental Science, Fisheries and Marine Resources Technology, Tourism and Hospitality Management এবং Business Management উল্লেখযোগ্য। এই বিষয় নির্বাচনগুলিই বিশ্ববিদ্যালয়ের আঞ্চলিক বাস্তবতার সঙ্গে একাডেমিক দিকনির্দেশনার সম্পর্ক স্পষ্ট করে—পার্বত্য পরিবেশ, বন, জীববৈচিত্র্য, পর্যটন, জলসম্পদ ও স্থানীয় অর্থনীতি এখানে শিক্ষা ও গবেষণার প্রাকৃতিক ক্ষেত্র। RMSTU-র mission-এ social harmony, unity and excellence-এর ওপর জোর দেওয়া হয়েছে, যা পার্বত্য অঞ্চলের সামাজিক বাস্তবতার সঙ্গেও সঙ্গতিপূর্ণ। একজন শিক্ষার্থীর জন্য এই বিশ্ববিদ্যালয়ের আকর্ষণ শুধু degree নয়; বরং এমন এক বিশ্ববিদ্যালয়ে পড়ার সুযোগ, যা বাংলাদেশের এক অনন্য ভৌগোলিক-সাংস্কৃতিক অঞ্চলে জ্ঞানচর্চাকে প্রতিষ্ঠিত করছে। এখানকার পরিবেশ ভবিষ্যতে পরিবেশবিজ্ঞান, টেকসই উন্নয়ন, পর্যটন ব্যবস্থাপনা, সামুদ্রিক সম্পদ ও ICT-ভিত্তিক শিক্ষার জন্য আরও গুরুত্বপূর্ণ হয়ে উঠতে পারে। যারা আঞ্চলিক প্রাসঙ্গিকতা, অপেক্ষাকৃত স্বতন্ত্র বিষয়পছন্দ এবং পার্বত্য চট্টগ্রামের বিশেষ প্রেক্ষাপটে উচ্চশিক্ষা নিতে চায়, তাদের জন্য Rangamati Science and Technology University একটি ব্যতিক্রমধর্মী ও অর্থবহ বিশ্ববিদ্যালয়।</t>
  </si>
  <si>
    <t>RMSTU</t>
  </si>
  <si>
    <t>Vedvedi, Rangamati-4500</t>
  </si>
  <si>
    <t>contact@rmstu.ac.bd</t>
  </si>
  <si>
    <t>https://rmstu.ac.bd</t>
  </si>
  <si>
    <t>Pirojpur Science and Technology University</t>
  </si>
  <si>
    <t>Pirojpur Science and Technology University বা PrSTU পিরোজপুরে প্রতিষ্ঠিত একটি নবীন সরকারি বিশ্ববিদ্যালয়, যার আনুষ্ঠানিক প্রতিষ্ঠা ২০২২ সালের আইন দ্বারা এবং যার অফিসিয়াল সাইট বর্তমানে সক্রিয় প্রশাসনিক ও একাডেমিক উপস্থিতির ইঙ্গিত দেয়। UGC-র তথ্য অনুযায়ী এর ক্যাম্পাস পিরোজপুর সদর এলাকার শিকারপুরে, এবং অফিসিয়াল সাইটে বর্তমান উপাচার্যের বার্তা ও বিশ্ববিদ্যালয়ের প্রশাসনিক তথ্য দেখা যায়। উন্মুক্ত তথ্যসূত্রে উল্লেখ আছে যে বিশ্ববিদ্যালয়টি ২০২৩–২৪ শিক্ষাবর্ষ থেকে চারটি বিষয়ে—Computer Science and Engineering, Mathematics, Statistics এবং Psychology—প্রতিটি বিভাগে সীমিত আসন নিয়ে একাডেমিক কার্যক্রম শুরু করার অনুমতি পেয়েছিল। Faculty of Science-সংক্রান্ত অফিসিয়াল পেজে Mathematics, Statistics এবং Psychology-কে একত্রে faculty-র অন্তর্ভুক্ত হিসেবে দেখানো হয়েছে, যা নতুন বিশ্ববিদ্যালয় হিসেবে এর বিষয়ভিত্তিক সূচনাকে পরিষ্কার করে। PrSTU-র সবচেয়ে গুরুত্বপূর্ণ বৈশিষ্ট্য হলো—এটি দক্ষিণাঞ্চলে science and technology-কেন্দ্রিক উচ্চশিক্ষার পরিসর বাড়াচ্ছে এবং পিরোজপুর অঞ্চলের শিক্ষার্থীদের নিজ এলাকার কাছাকাছি সরকারি বিশ্ববিদ্যালয় শিক্ষার সুযোগ দিচ্ছে। নতুন বিশ্ববিদ্যালয় হওয়ায় এখানকার অবকাঠামো, পূর্ণাঙ্গ ক্যাম্পাসজীবন, গবেষণাগার ও অ্যালামনাই নেটওয়ার্ক এখনও গড়ে উঠছে, কিন্তু এর মধ্যেই science-oriented core disciplines দিয়ে যাত্রা শুরু করা ভবিষ্যৎ সম্প্রসারণের একটি শক্ত ভিত তৈরি করে। একজন শিক্ষার্থীর দৃষ্টিকোণ থেকে PrSTU-তে পড়ার সুবিধা হলো—একটি emerging institution-এ comparatively intimate academic environment, শিক্ষক-শিক্ষার্থীর নিকটতর যোগাযোগ এবং বিশ্ববিদ্যালয়ের growth story-র প্রাথমিক অংশ হওয়ার সুযোগ। যারা নতুন কিন্তু সরকারি, science-focused এবং দক্ষিণাঞ্চলে অবস্থিত একটি সম্ভাবনাময় বিশ্ববিদ্যালয়ে পড়তে চায়, তাদের জন্য Pirojpur Science and Technology University একটি উল্লেখযোগ্য বিকল্প।</t>
  </si>
  <si>
    <t>PrSTU</t>
  </si>
  <si>
    <t>Pirojpur - 8500</t>
  </si>
  <si>
    <t>registrar@prstu.ac.bd</t>
  </si>
  <si>
    <r>
      <rPr>
        <rFont val="Arial"/>
        <b/>
        <color rgb="FF1155CC"/>
        <u/>
      </rPr>
      <t>https://prstu.ac.bd</t>
    </r>
  </si>
  <si>
    <r>
      <rPr>
        <rFont val="Arial"/>
        <b/>
        <color rgb="FF1155CC"/>
        <u/>
      </rPr>
      <t>https://gstadmission.ac.bd</t>
    </r>
  </si>
  <si>
    <t>Patuakhali Science and Technology University</t>
  </si>
  <si>
    <t>Patuakhali Science and Technology University বা PSTU দক্ষিণাঞ্চলের একটি সুপ্রতিষ্ঠিত সরকারি বিশ্ববিদ্যালয়, যা ২০০২ সালের আইনের মাধ্যমে প্রতিষ্ঠিত হয়ে কৃষি, মৎস্য, প্রাণিসম্পদ, পরিবেশ, দুর্যোগ ব্যবস্থাপনা, কম্পিউটার বিজ্ঞান, ব্যবসায় শিক্ষা, পুষ্টি, আইন ও ভূমি প্রশাসনসহ বহু শাখায় শিক্ষা ও গবেষণার সুযোগ তৈরি করেছে। অফিসিয়াল at-a-glance ও faculties পেজ অনুযায়ী এখানে অন্তত ৯টি ফ্যাকাল্টি রয়েছে, যার মধ্যে Agriculture, Computer Science and Engineering, Business Administration, Animal Science and Veterinary Medicine, Fisheries, Environmental Science and Disaster Management, Nutrition and Food Science, Law and Land Administration এবং Postgraduate Studies বিশেষভাবে উল্লেখযোগ্য। departments list-এ Marine Fisheries and Oceanography, Genetics and Animal Breeding, Human Nutrition and Dietetics, Food Technology and Engineering, Computer Science and Information Technology, Disaster Risk Management, Law and Land Administration, Aquaculture, Economics and Sociology, Computer and Communication Engineering, Environmental Science, Geo Information Science and Earth Observation, Biotechnology, Climate Smart Agriculture সহ বহু সমসাময়িক ও আঞ্চলিকভাবে প্রাসঙ্গিক বিষয় দেখা যায়। এই বৈচিত্র্য PSTU-কে একটি অত্যন্ত প্রয়োগমুখী ও regionally relevant university হিসেবে প্রতিষ্ঠা করেছে। উপকূলীয় বাংলাদেশের বাস্তবতা—দুর্যোগ, জলবায়ু পরিবর্তন, কৃষি, মৎস্য, খাদ্যনিরাপত্তা ও পরিবেশ—PSTU-র গবেষণাকে বিশেষভাবে গুরুত্বপূর্ণ করে তোলে। কেন্দ্রীয় লাইব্রেরি, যার সমৃদ্ধ প্রিন্ট সংগ্রহের পাশাপাশি UGC Digital Library, JSTOR, IEEE, Wiley, HINARI, AGORA ও Research4Life-এ প্রবেশাধিকার রয়েছে, শিক্ষার্থী ও গবেষকদের জন্য বড় শক্তি। একজন শিক্ষার্থীর জন্য PSTU-তে পড়ার অর্থ হলো এমন এক ক্যাম্পাসে শিক্ষা নেওয়া, যেখানে কৃষি-প্রযুক্তি-পরিবেশ-কম্পিউটিং-ব্যবসা—সবকিছুর সমন্বয়ে বাস্তবমুখী দক্ষতা গড়ে তোলা যায়। যারা বিশেষ করে উপকূলীয় উন্নয়ন, agriculture-tech, food systems, veterinary science, fisheries, ICT বা environmental governance-এর মতো ক্ষেত্রকে লক্ষ্য করে উচ্চশিক্ষা নিতে চায়, তাদের জন্য Patuakhali Science and Technology University একটি অত্যন্ত কার্যকর, বিষয়বৈচিত্র্যময় এবং পেশাগতভাবে শক্তিশালী পছন্দ।</t>
  </si>
  <si>
    <t>PSTU</t>
  </si>
  <si>
    <t>Dumki, Patuakhali - 8602</t>
  </si>
  <si>
    <t>registrar@pstu.ac.bd</t>
  </si>
  <si>
    <r>
      <rPr>
        <rFont val="Arial"/>
        <b/>
        <color rgb="FF1155CC"/>
        <u/>
      </rPr>
      <t>https://pstu.ac.bd</t>
    </r>
  </si>
  <si>
    <r>
      <rPr>
        <rFont val="Arial"/>
        <b/>
        <color rgb="FF1155CC"/>
        <u/>
      </rPr>
      <t>https://gstadmission.ac.bd</t>
    </r>
  </si>
  <si>
    <t>Pabna University of Science and Technology</t>
  </si>
  <si>
    <t>Pabna University of Science and Technology বা PUST পাবনায় অবস্থিত একটি গুরুত্বপূর্ণ সরকারি বিজ্ঞান ও প্রযুক্তি বিশ্ববিদ্যালয়, যা ২০০৮ সালে কার্যকরভাবে যাত্রা শুরু করে এবং দ্রুতই একটি বহুমুখী পাবলিক বিশ্ববিদ্যালয়ে পরিণত হয়। অফিসিয়াল সাইটে একে “one of the most promising universities in Bangladesh” বলা হয়েছে এবং সেখানে উল্লেখ আছে যে এটি মাত্র চারটি বিভাগ—CSE, EEE, Mathematics এবং Business Administration—নিয়ে শুরু করেছিল। বর্তমানে official faculties page এবং অন্যান্য নির্ভরযোগ্য উৎসে দেখা যায় যে Engineering and Technology, Science, Business Studies, Humanities and Social Science এবং Life and Earth Science-সহ একাধিক ফ্যাকাল্টির অধীনে Computer Science and Engineering, Electrical and Electronic Engineering, Electrical, Electronic and Communication Engineering, Information and Communication Engineering, Civil Engineering, Architecture, Urban and Regional Planning, Mathematics, Physics, Statistics, Chemistry, Pharmacy, Business Administration, Tourism and Hospitality Management, Economics, Bangla, English, Social Work, Public Administration, History, Geography and Environment-এর মতো বিভাগ রয়েছে। এই বিষয়বৈচিত্র্য PUST-কে এমন একটি বিশ্ববিদ্যালয়ে পরিণত করেছে যেখানে প্রযুক্তি, নকশা, বিজ্ঞান, ব্যবসা, সমাজ ও মানবিক বিদ্যা একসঙ্গে সহাবস্থান করে। অফিসিয়াল library page-এ Central Library &amp; Information Center-কে শিক্ষার্থী, শিক্ষক ও গবেষকদের academic and research endeavor সমর্থনের জন্য নকশাকৃত বলা হয়েছে, যা বিশ্ববিদ্যালয়ের শিক্ষাবান্ধব অবকাঠামোর প্রমাণ। পাবনা অঞ্চলে একটি আধুনিক বিজ্ঞান ও প্রযুক্তি বিশ্ববিদ্যালয় হিসেবে PUST-এর বিশেষ গুরুত্ব হলো—এটি স্থানীয় ও পার্শ্ববর্তী জেলার শিক্ষার্থীদের জন্য সরকারি উচ্চশিক্ষার শক্তিশালী সুযোগ তৈরি করেছে। একজন শিক্ষার্থীর জন্য এখানে পড়ার সুবিধা হলো বিষয়পছন্দের বৈচিত্র্য, তুলনামূলকভাবে balanced campus life, engineering-to-humanities continuum, এবং ক্রমবর্ধমান গবেষণা ও উচ্চশিক্ষা পরিবেশ। যারা প্রযুক্তিভিত্তিক শিক্ষা চায় কিন্তু একই সঙ্গে architecture, tourism, social science বা public administration-এর মতো বিকল্পও খোলা রাখতে চায়, তাদের জন্য Pabna University of Science and Technology একটি অত্যন্ত ভারসাম্যপূর্ণ ও সম্ভাবনাময় সিদ্ধান্ত।</t>
  </si>
  <si>
    <t>PUST</t>
  </si>
  <si>
    <t>Rajapur, Pabna - 6600</t>
  </si>
  <si>
    <t>registrar@pust.ac.bd</t>
  </si>
  <si>
    <r>
      <rPr>
        <rFont val="Arial"/>
        <b/>
        <color rgb="FF1155CC"/>
        <u/>
      </rPr>
      <t>https://pust.ac.bd</t>
    </r>
  </si>
  <si>
    <r>
      <rPr>
        <rFont val="Arial"/>
        <b/>
        <color rgb="FF1155CC"/>
        <u/>
      </rPr>
      <t>https://gstadmission.ac.bd</t>
    </r>
  </si>
  <si>
    <t>Noakhali Science and Technology University</t>
  </si>
  <si>
    <t>Noakhali Science and Technology University বা NSTU নোয়াখালীতে অবস্থিত একটি সুপরিচিত সরকারি বিজ্ঞান ও প্রযুক্তি বিশ্ববিদ্যালয়, যা দক্ষিণ-পূর্বাঞ্চলের শিক্ষার্থীদের জন্য উচ্চশিক্ষার একটি গুরুত্বপূর্ণ কেন্দ্র। অফিসিয়াল সাইটের faculties page-এ বলা হয়েছে যে এখানে সাতটি ফ্যাকাল্টি রয়েছে এবং বিভাগগুলো undergraduate, graduate এবং doctoral degree program পরিচালনা করে। একই সঙ্গে official home page-এ scholarship, international student admission, research excellence এবং campus diversity-র ওপর জোর দেওয়া হয়েছে, যা একটি পরিণত বিশ্ববিদ্যালয় কাঠামোর ইঙ্গিত দেয়। যদিও সার্চ ফলাফলে বিভাগগুলোর পূর্ণ তালিকা একসঙ্গে আসেনি, অফিসিয়াল নোটিশ ও সাম্প্রতিক procurement তথ্য থেকে বোঝা যায় যে Pharmacy-সহ ল্যাব-নির্ভর বিভাগগুলোতে অবকাঠামো উন্নয়ন চলছে, এবং HEAT Project-এর অধীনে ল্যাব নির্মাণ ও furniture installation-এর মতো কাজ বিশ্ববিদ্যালয়ের একাডেমিক সম্প্রসারণকে নির্দেশ করে। NSTU-র গুরুত্ব এইখানে যে এটি বিজ্ঞান ও প্রযুক্তি বিশ্ববিদ্যালয় হলেও সময়ের সঙ্গে broader university character অর্জন করেছে—যেখানে গবেষণা, scholarship support, international ছাত্রভর্তি, campus services এবং diverse academic program একসঙ্গে উপস্থিত। নোয়াখালী অঞ্চলের সামাজিক-অর্থনৈতিক পটভূমি, উপকূলীয় ও দুর্যোগপ্রবণ বাস্তবতা এবং দক্ষিণ-পূর্বাঞ্চলের জনবহুলতা বিবেচনায় বিশ্ববিদ্যালয়টির গবেষণা ও মানবসম্পদ উন্নয়নের সম্ভাবনা যথেষ্ট। একজন শিক্ষার্থীর জন্য NSTU-তে পড়ার আকর্ষণ হলো—এটি প্রতিষ্ঠিত public science and technology university হওয়ার পাশাপাশি academic growth, research support, scholarship opportunity এবং broader campus life-এর সমন্বয় দেয়। যারা নোয়াখালী বা আশপাশে থেকে একটি সুপরিচিত সরকারি বিশ্ববিদ্যালয়ে science, technology বা allied ক্ষেত্রের শিক্ষা নিতে চায়, তাদের জন্য Noakhali Science and Technology University একটি বাস্তবসম্মত, পরিচিত এবং একাডেমিকভাবে ক্রমশ শক্তিশালী বিকল্প।</t>
  </si>
  <si>
    <t>NSTU</t>
  </si>
  <si>
    <t>Sonapur, Noakhali - 3814</t>
  </si>
  <si>
    <t>registrar@office.nstu.edu.bd</t>
  </si>
  <si>
    <r>
      <rPr>
        <rFont val="Arial"/>
        <b/>
        <color rgb="FF1155CC"/>
        <u/>
      </rPr>
      <t>https://nstu.edu.bd</t>
    </r>
  </si>
  <si>
    <r>
      <rPr>
        <rFont val="Arial"/>
        <b/>
        <color rgb="FF1155CC"/>
        <u/>
      </rPr>
      <t>https://gstadmission.ac.bd</t>
    </r>
  </si>
  <si>
    <t>Jashore University of Science and Technology</t>
  </si>
  <si>
    <t>Jashore University of Science and Technology বা JUST যশোরের একটি শীর্ষস্থানীয় সরকারি বিজ্ঞান ও প্রযুক্তি বিশ্ববিদ্যালয়, যা ২০০৭ সালে প্রতিষ্ঠিত হয় এবং ২০০৯–১০ শিক্ষাবর্ষ থেকে চার বছর মেয়াদি undergraduate program চালু করে। অফিসিয়াল সাইটে একে খুলনা বিভাগের চতুর্থ পাবলিক বিশ্ববিদ্যালয় এবং যশোরের প্রথম পাবলিক বিশ্ববিদ্যালয় হিসেবে বর্ণনা করা হয়েছে। Departments page-এ বিশ্ববিদ্যালয়টির স্পষ্ট পরিচয়, প্রতিষ্ঠাবর্ষ এবং একাডেমিক বিস্তারের উল্লেখ আছে, আর official home page-এ research laboratories, industrial collaboration, international service center, academic calendar, library, facilities ও career support-এর সমন্বিত উপস্থিতি দেখা যায়। সাম্প্রতিক অফিসিয়াল content-এ আরও গুরুত্বপূর্ণভাবে উঠে এসেছে যে JUST Times Higher Education World University Rankings 2026-এ Bangladesh-এর science and technology category-তে শীর্ষে ছিল এবং QS 2025 Research Quality Index-এও শক্তিশালী অবস্থান দেখিয়েছে। এই ধরনের আন্তর্জাতিক স্বীকৃতি বিশ্ববিদ্যালয়টির গবেষণা সক্ষমতা ও দৃশ্যমানতা সম্পর্কে পরিষ্কার ধারণা দেয়। বিশ্ববিদ্যালয়টির একাডেমিক কাঠামোতে Engineering and Technology, Applied Science and Technology, Biological Science and Technology, Health Science, Arts and Social Science, Business Studies এবং Science-সহ একাধিক ফ্যাকাল্টির অধীনে বহু বিভাগ পরিচালিত হয়। Genome Center, Hatchery and Wet Lab, গবেষণাগার, ICT-enabled facilities, industrial collaboration এবং innovation-friendly environment JUST-কে বাংলাদেশের public university landscape-এ বিশেষভাবে আলাদা করে। একজন শিক্ষার্থীর জন্য এই বিশ্ববিদ্যালয়ের বড় শক্তি হলো—এখানে প্রযুক্তিনির্ভর শিক্ষা, গবেষণা, career orientation এবং আন্তর্জাতিক মানদণ্ডে দৃশ্যমান academic performance একসঙ্গে পাওয়া যায়। যশোরের অবস্থানগত সুবিধা, শিল্পখাতের সম্ভাবনা এবং organized campus services এটিকে আরও আকর্ষণীয় করে। যারা science, engineering, health, applied research বা technology-driven career গড়তে চায় এবং একই সঙ্গে এমন একটি বিশ্ববিদ্যালয়ে পড়তে চায় যার গবেষণা-স্বীকৃতি জাতীয় সীমানা ছাড়িয়ে যাচ্ছে, তাদের জন্য Jashore University of Science and Technology একটি অত্যন্ত শক্তিশালী, আধুনিক এবং উচ্চাভিলাষী পছন্দ।</t>
  </si>
  <si>
    <t>JUST</t>
  </si>
  <si>
    <t>Jashore - 7408</t>
  </si>
  <si>
    <t>registrar@just.edu.bd</t>
  </si>
  <si>
    <r>
      <rPr>
        <rFont val="Arial"/>
        <b/>
        <color rgb="FF1155CC"/>
        <u/>
      </rPr>
      <t>https://just.edu.bd</t>
    </r>
  </si>
  <si>
    <r>
      <rPr>
        <rFont val="Arial"/>
        <b/>
        <color rgb="FF1155CC"/>
        <u/>
      </rPr>
      <t>https://gstadmission.ac.bd</t>
    </r>
  </si>
  <si>
    <t>Bangladesh Digital University</t>
  </si>
  <si>
    <t>Bangladesh Digital University নামে আপনি যে প্রতিষ্ঠানের কথা বলেছেন, সেটির বর্তমান সরকারি নাম এখন University of Frontier Technology, Bangladesh; অফিসিয়াল ওয়েবসাইটে বিশ্ববিদ্যালয়টি ২০১৬ সালে প্রতিষ্ঠিত দেশের প্রথম বিশেষায়িত সরকারি ডিজিটাল বিশ্ববিদ্যালয় হিসেবে পরিচিত, যার ভর্তি কার্যক্রম ২০১৮ সালে শুরু হয় এবং যার অবস্থান গাজীপুরের কালিয়াকৈর হাই-টেক পার্ক সংলগ্ন এলাকায়। পুরোনো BDU ডোমেইন ও সাম্প্রতিক UFTB ডোমেইন—দুটিতেই এর ধারাবাহিকতা দেখা যায়, তাই বাস্তবে এটি একই প্রতিষ্ঠানের নাম-পরিবর্তিত রূপ। এর একাডেমিক দর্শন পুরোপুরি future-oriented: তথ্যপ্রযুক্তি, ডিজিটাল রূপান্তর, software engineering, data science, cyber security, IoT and robotics, educational technology এবং general education–এর সমন্বয়ে এমন মানবসম্পদ তৈরি করা, যারা Fourth এবং Fifth Industrial Revolution-এর চাহিদা পূরণ করতে পারবে। অফিসিয়াল academics ও faculty-and-departments পেজে দেখা যায় যে এখানে একাধিক faculty, institute, center and cell, এবং software ও machine intelligence, digital transformation, cyber physical systems-এর মতো আধুনিক জ্ঞানক্ষেত্রকেন্দ্রিক বিভাগ রয়েছে। এই বিশ্ববিদ্যালয়ের বড় শক্তি হলো এর বিষয়নির্বাচন—এটি প্রচলিত সাধারণ বিশ্ববিদ্যালয়ের মতো সব শাখায় না গিয়ে বেছে বেছে ভবিষ্যৎ-চাহিদাসম্পন্ন প্রযুক্তি ক্ষেত্রগুলোয় জোর দিচ্ছে। গাজীপুরের প্রযুক্তি ও শিল্পঘন ভৌগোলিক অবস্থান এবং হাই-টেক পার্কের নিকটতা এর শিক্ষার্থীদের জন্য research, startup thinking, innovation এবং industry linkage-এর আলাদা সম্ভাবনা তৈরি করে। একজন শিক্ষার্থীর জন্য এখানে পড়াশোনা মানে শুধু ডিগ্রি নেওয়া নয়; বরং emerging digital economy-এর উপযোগী দক্ষতা, hands-on technical learning এবং প্রযুক্তিনির্ভর পেশাগত পরিচয় গড়ে তোলার সুযোগ পাওয়া। বিশেষ করে যারা software, AI-adjacent fields, robotics, cybersecurity, data-driven systems বা digital transformation–এ নিজেদের ভবিষ্যৎ কল্পনা করে, তাদের জন্য Bangladesh Digital University—অর্থাৎ বর্তমান University of Frontier Technology, Bangladesh—একটি অত্যন্ত প্রাসঙ্গিক ও কৌশলগত পছন্দ।</t>
  </si>
  <si>
    <t>BDU</t>
  </si>
  <si>
    <t>Kaliakair, Gazipur-1750</t>
  </si>
  <si>
    <t>registrar@bdu.ac.bd</t>
  </si>
  <si>
    <t>https://bdu.ac.bd</t>
  </si>
  <si>
    <t>5.Medical College</t>
  </si>
  <si>
    <t>Sunamganj Medical College Sunamganj</t>
  </si>
  <si>
    <t>Sunamganj Medical College, Sunamganj বাংলাদেশের একটি নতুন সরকারি মেডিকেল কলেজ, যার অফিসিয়াল সরকারি পোর্টাল সক্রিয় রয়েছে এবং ২০২৬ সাল পর্যন্ত নিয়মিত আপডেটেড নোটিশ, ভর্তি, পরীক্ষা, প্রকাশনা ও প্রশাসনিক তথ্য প্রকাশ করছে। সরকারি পোর্টাল ও উন্মুক্ত নির্ভরযোগ্য উৎস অনুযায়ী এটি ২০২১ সালে প্রতিষ্ঠিত একটি পাবলিক মেডিকেল কলেজ, যার অবস্থান সুনামগঞ্জ জেলায় এবং যা Sylhet Medical University-এর একাডেমিক কাঠামোর সঙ্গে যুক্ত। কলেজটির বিশেষ গুরুত্ব হলো—সুনামগঞ্জের মতো হাওর ও প্রান্তিক অঞ্চলে চিকিৎসাশিক্ষা ও স্বাস্থ্যসেবার অবকাঠামো শক্তিশালী করার উদ্দেশ্যে এটি প্রতিষ্ঠিত হয়েছে। সরকারি পোর্টালে “প্রতিষ্ঠান সম্পর্কে”, “পাঠ্যক্রম”, “বিভাগসমূহ”, “শিক্ষক/প্রশিক্ষকবৃন্দ”, “প্রশাসনিক কাঠামো”, “জার্নাল” এবং “ভর্তি” অংশগুলোর উপস্থিতি থেকে বোঝা যায় যে এটি একটি ধীরে ধীরে সংগঠিত মেডিকেল একাডেমিক প্রতিষ্ঠান হিসেবে এগোচ্ছে। মেডিকেল কলেজ হওয়ায় এর মূল শিক্ষা কাঠামো MBBS-কেন্দ্রিক, এবং এর সঙ্গে শিক্ষকবৃন্দ, একাডেমিক ক্যালেন্ডার, পরীক্ষা, ফলাফল, সার্টিফিকেট এবং প্রশিক্ষণ কার্যক্রম যুক্ত রয়েছে। নতুন হওয়ায় এটির অ্যালামনাই ঐতিহ্য এখনও গড়ে উঠছে, কিন্তু উল্টোভাবে দেখলে এটিই এর সুযোগ—প্রতিষ্ঠাকালীন batch-এর শিক্ষার্থীরা একটি growing institution-এর অংশ হতে পারে। সুনামগঞ্জের আঞ্চলিক বাস্তবতা বিবেচনায় community medicine, rural healthcare, public health awareness এবং প্রান্তিক জনগোষ্ঠীর চিকিৎসাসেবার সঙ্গে ভবিষ্যৎ সংযোগও এখানে গুরুত্বপূর্ণ হতে পারে। যেসব শিক্ষার্থী সরকারি মেডিকেল কলেজে পড়তে চায় এবং একদিকে আধুনিক চিকিৎসাশিক্ষা, অন্যদিকে একটি evolving academic environment-এর অংশ হতে আগ্রহী, তাদের জন্য Sunamganj Medical College একটি সম্ভাবনাময় এবং আঞ্চলিকভাবে অত্যন্ত তাৎপর্যপূর্ণ প্রতিষ্ঠান।</t>
  </si>
  <si>
    <t>BMSMC</t>
  </si>
  <si>
    <t>Sunamganj-3000</t>
  </si>
  <si>
    <t>bmsmc@ac.dghs.gov.bd</t>
  </si>
  <si>
    <t>https://bmsmc.gov.bd</t>
  </si>
  <si>
    <t>https://dgme.teletalk.com.bd</t>
  </si>
  <si>
    <t>Medical College</t>
  </si>
  <si>
    <t>Sir Salimullah Medical College</t>
  </si>
  <si>
    <t>Sir Salimullah Medical College বাংলাদেশের চিকিৎসাশিক্ষার ইতিহাসে অন্যতম প্রাচীন ও ঐতিহ্যবাহী সরকারি মেডিকেল কলেজ, যা পুরান ঢাকার মিটফোর্ড এলাকায় বুড়িগঙ্গা নদীর তীরে অবস্থিত। এর সরকারি পোর্টাল নিয়মিতভাবে শিক্ষক, বিভাগ, ভর্তি, ফলাফল, সার্টিফিকেট, অ্যালামনাই সেল এবং বিভিন্ন ক্লাব-কার্যক্রমের তথ্য আপডেট করে, যা দেখায় যে এটি শুধু ঐতিহাসিক প্রতিষ্ঠানই নয়, বর্তমানে সক্রিয় ও বহুমাত্রিক একাডেমিক পরিবেশও বজায় রেখেছে। ঐতিহাসিকভাবে এটি ঢাকা শহরের চিকিৎসা ও হাসপাতাল-সংশ্লিষ্ট জ্ঞানের কেন্দ্রগুলোর একটি, আর Mitford Hospital-এর সঙ্গে এর দীর্ঘ সম্পর্ক প্রতিষ্ঠানটিকে একটি শক্তিশালী clinical training environment দিয়েছে। সরকারি পোর্টালে faculty-based departments, teachers/trainers, officers, alumni association, debating club, science club, computer club, blood donation club এবং cultural club-এর তথ্য পাওয়া যায়, যা প্রমাণ করে যে এখানে ছাত্রজীবন কেবল কক্ষপাঠে সীমাবদ্ধ নয়। অবস্থানগতভাবে পুরান ঢাকার মাঝখানে হওয়ায় এই কলেজের শিক্ষার্থীরা বাংলাদেশের ঐতিহাসিক নগর চিকিৎসা-বাস্তবতার সঙ্গে সরাসরি যুক্ত থাকতে পারে। ক্লিনিক্যাল শিক্ষা, রোগীর বৈচিত্র্য, পুরোনো হাসপাতাল অবকাঠামো ও ব্যস্ত urban healthcare setting—এই চারটির সমন্বয় Sir Salimullah Medical College-কে নতুন প্রজন্মের চিকিৎসকদের জন্য অত্যন্ত বাস্তবধর্মী প্রশিক্ষণক্ষেত্রে পরিণত করেছে। একজন শিক্ষার্থীর জন্য এখানে পড়াশোনা মানে বাংলাদেশের চিকিৎসা ঐতিহ্যের ভেতরে দাঁড়িয়ে MBBS শিক্ষা নেওয়া, ক্লিনিক্যাল এক্সপোজার পাওয়া এবং একই সঙ্গে সমৃদ্ধ ঐতিহাসিক ও একাডেমিক পরিচয়ের অংশ হওয়া। যাঁরা heritage, clinical intensity, সরকারি মেডিকেল শিক্ষার শক্ত কাঠামো এবং ঢাকাকেন্দ্রিক বিস্তৃত পেশাগত exposure চান, তাঁদের জন্য Sir Salimullah Medical College একটি মর্যাদাপূর্ণ ও প্রভাবশালী পছন্দ।</t>
  </si>
  <si>
    <t>SSMC</t>
  </si>
  <si>
    <t>Mitford Road, Dhaka</t>
  </si>
  <si>
    <t>ssmc@ac.dghs.gov.bd</t>
  </si>
  <si>
    <t>https://ssmc.gov.bd</t>
  </si>
  <si>
    <t>Sher-e-Bangla Medical College</t>
  </si>
  <si>
    <t>Sher-e-Bangla Medical College বরিশালের অন্যতম প্রধান সরকারি মেডিকেল কলেজ এবং সরকারি ও স্বাধীন উভয় উৎসেই এটি একটি শক্তিশালী ও সুপ্রতিষ্ঠিত medical institution হিসেবে উপস্থাপিত। অফিসিয়াল ওয়েবসাইটে কলেজটিকে দেশের অন্যতম সেরা সরকারি মেডিকেল কলেজ হিসেবে বর্ণনা করা হয়েছে, যেখানে MBBS-এর পাশাপাশি diploma, MPhil এবং nursing-সংক্রান্ত কোর্সের কথাও উল্লেখ আছে। সরকারি পোর্টালে বিভাগ, faculty members, mission and vision, curriculum, admission, seminar, journal, library, hostel, auditorium এবং বিভিন্ন সুযোগ-সুবিধার উপস্থিতি থেকে বোঝা যায় যে এটি কেবল একটি teaching college নয়, বরং একটি সক্রিয় একাডেমিক ও পেশাগত প্রশিক্ষণকেন্দ্র। বরিশালের আঞ্চলিক চিকিৎসাসেবার ক্ষেত্রে এর গুরুত্ব অনেক, কারণ দক্ষিণাঞ্চলের একটি বড় জনগোষ্ঠী উন্নত চিকিৎসা প্রশিক্ষণ ও মানবসম্পদ তৈরির জন্য এই প্রতিষ্ঠানের ওপর নির্ভরশীল। এর শিক্ষার্থীরা ক্লাসরুম-ভিত্তিক প্রাক-ক্লিনিক্যাল শিক্ষা, বিভাগীয় প্রশিক্ষণ, হাসপাতালভিত্তিক ক্লিনিক্যাল exposure এবং সহশিক্ষা কার্যক্রম—সবকিছুর মধ্য দিয়ে যায়। সরকারি পোর্টালে জার্নাল ও সেমিনারের উপস্থিতি গবেষণা ও একাডেমিক চর্চার ইঙ্গিত দেয়, যা একটি আধুনিক মেডিকেল কলেজের জন্য গুরুত্বপূর্ণ। লাইব্রেরি, হোস্টেল, অডিটোরিয়াম এবং সহশিক্ষামূলক অবকাঠামো শিক্ষার্থীদের দীর্ঘ ও demanding MBBS জীবনে প্রাতিষ্ঠানিক সহায়তা দেয়। একজন শিক্ষার্থীর জন্য Sher-e-Bangla Medical College-এর বড় শক্তি হলো এর সরকারি মর্যাদা, আঞ্চলিক চিকিৎসাব্যবস্থার সঙ্গে ঘনিষ্ঠ সংযোগ, এবং দক্ষিণাঞ্চলে থেকে মানসম্মত চিকিৎসাশিক্ষা পাওয়ার সুযোগ। যারা বরিশাল বা আশপাশের অঞ্চলে থেকেই শক্তিশালী clinical exposure এবং সরকারি মেডিকেল কলেজের পরিচিতি নিয়ে চিকিৎসক হিসেবে গড়ে উঠতে চায়, তাদের জন্য Sher-e-Bangla Medical College একটি অত্যন্ত মূল্যবান ও বাস্তবসম্মত সিদ্ধান্ত।</t>
  </si>
  <si>
    <t>SBMC</t>
  </si>
  <si>
    <t>Band Road, Barishal-8200</t>
  </si>
  <si>
    <t>sbmc@ac.dghs.gov.bd</t>
  </si>
  <si>
    <t>https://sbmc.gov.bd</t>
  </si>
  <si>
    <t>Sheikh Sayera Khatun Medical College</t>
  </si>
  <si>
    <t>Sheikh Sayera Khatun Medical College নামে যে প্রতিষ্ঠানটির কথা আপনি বলেছেন, সেটির সরকারি ও স্বাধীন উন্মুক্ত উৎসে বর্তমানে Gopalganj Medical College নামটিও ব্যবহৃত হচ্ছে; তবে সরকারি college portal-এ এখনো Sheikh Sayera Khatun Medical College, Gopalganj নাম বিদ্যমান। অফিসিয়াল ওয়েব তথ্য এবং সাম্প্রতিক উন্মুক্ত সূত্র অনুযায়ী এটি ২০১১ সালে প্রতিষ্ঠিত একটি সরকারি মেডিকেল কলেজ, যা University of Dhaka-এর সঙ্গে একাডেমিকভাবে যুক্ত। কলেজটির সরকারি পোর্টালে শিক্ষক ও শিক্ষার্থী পোর্টাল, ভর্তি প্রক্রিয়া, বিভিন্ন ক্লাব, সাংস্কৃতিক কার্যক্রম, রক্তদান, কম্পিউটার ও সায়েন্স ক্লাব এবং প্রশাসনিক কাঠামোর উপস্থিতি দেখা যায়, যা দেখায় যে এটি একটি সংগঠিত মেডিকেল ক্যাম্পাস হিসেবে কাজ করছে। স্বাধীন একাডেমিক ওয়েবসাইটে ছয়তলা একাডেমিক ভবন, হাসপাতাল-সংযুক্ত অবকাঠামো এবং গোপালগঞ্জে সরকারি চিকিৎসাশিক্ষার গুরুত্বপূর্ণ কেন্দ্র হিসেবে এর পরিচয় পাওয়া যায়। নাম-পরিবর্তনের সাম্প্রতিক প্রেক্ষাপট থাকলেও শিক্ষার্থীর দৃষ্টিতে মূল বিষয় হলো—এটি একটি সক্রিয় সরকারি medical college, যেখানে MBBS শিক্ষা, শিক্ষক-নির্ভর প্রশিক্ষণ, ক্লিনিক্যাল সংযোগ এবং সংগঠিত campus life আছে। গোপালগঞ্জ অঞ্চলে সরকারি চিকিৎসা শিক্ষা বিস্তারে এটির গুরুত্ব অনেক, কারণ এটি স্থানীয় শিক্ষার্থীদের জন্য রাজধানী বা বড় শহরে না গিয়েও চিকিৎসাশিক্ষা গ্রহণের সুযোগ তৈরি করেছে। একজন শিক্ষার্থীর জন্য এই কলেজের আকর্ষণ হলো সরকারি কাঠামো, MBBS degree pathway, ঢাকা বিশ্ববিদ্যালয়-সংযুক্ত একাডেমিক পরিচয়, এবং একদিকে ক্লিনিক্যাল শিক্ষা অন্যদিকে ক্লাব ও সহশিক্ষা কার্যক্রমের সমন্বিত পরিবেশ। ভর্তি পরিকল্পনার সময় বর্তমান নাম ও প্রশাসনিক অবস্থা আলাদাভাবে যাচাই করা ভালো, তবে প্রতিষ্ঠান হিসেবে Sheikh Sayera Khatun Medical College/Gopalganj Medical College একটি কার্যকর, পরিচিত এবং সম্ভাবনাময় সরকারি মেডিকেল কলেজ।</t>
  </si>
  <si>
    <t>SSKMC</t>
  </si>
  <si>
    <t>Gopalganj-8100</t>
  </si>
  <si>
    <t>sskmc@ac.dghs.gov.bd</t>
  </si>
  <si>
    <t>https://sskmc.gov.bd</t>
  </si>
  <si>
    <t>Sheikh Hasina Medical College, Tangail</t>
  </si>
  <si>
    <t>Sheikh Hasina Medical College, Tangail নামে পরিচিত প্রতিষ্ঠানটির বর্তমান নাম Tangail Medical College, এবং সাম্প্রতিক নির্ভরযোগ্য উন্মুক্ত উৎসে ২০২৪ সালে এ নাম পরিবর্তনের তথ্য রয়েছে; তবে ব্যবহারিকভাবে এটি সেই একই সরকারি মেডিকেল কলেজ, যা ২০১৪ সালে টাঙ্গাইলে প্রতিষ্ঠিত হয়। সরকারি হাসপাতাল পোর্টাল, নির্ভরযোগ্য সংকলিত তথ্য এবং ভর্তিসংক্রান্ত উৎস থেকে জানা যায় যে এটি টাঙ্গাইল শহরের কোদালিয়া/সাবালিয়া এলাকার একটি সরকারি চিকিৎসাশিক্ষা প্রতিষ্ঠান, যা University of Dhaka-এর সঙ্গে একাডেমিকভাবে যুক্ত এবং BMDC স্বীকৃত MBBS program পরিচালনা করে। সরকারি পোর্টালে শিক্ষক পোর্টাল, শিক্ষার্থী পোর্টাল, ভর্তি, ফর্ম ফিলাপ, বিভিন্ন ক্লাব—যেমন debating, science, computer, blood donation ও cultural club—এর উপস্থিতি দেখা যায়, যা মেডিকেল কলেজের একাডেমিক জীবনের পাশাপাশি সহশিক্ষা ও সাংগঠনিক পরিসরকেও নির্দেশ করে। এই কলেজ প্রতিষ্ঠার প্রেক্ষাপটও গুরুত্বপূর্ণ, কারণ ২০১৪ সালে সরকার দেশের বিভিন্ন জেলায় নতুন সরকারি মেডিকেল কলেজ বিস্তারের যে উদ্যোগ নেয়, এটি তার একটি অংশ ছিল। টাঙ্গাইল অঞ্চলের জন্য এটির গুরুত্ব অনেক, কারণ এতে মধ্যাঞ্চলের শিক্ষার্থীরা নিজ অঞ্চলের কাছাকাছি সরকারি চিকিৎসাশিক্ষার সুযোগ পেয়েছে। একজন শিক্ষার্থীর জন্য এখানে পড়াশোনা মানে MBBS degree-এর পাশাপাশি সরকারি হাসপাতালে ভিত্তিক clinical learning, আঞ্চলিক রোগী-অভিজ্ঞতা, এবং growing institutional culture-এর অংশ হওয়া। নতুন নাম Tangail Medical College হলেও, আপনার দেওয়া পুরোনো নাম Sheikh Hasina Medical College, Tangail-এর পরিচয় ধরে বলা যায়—এটি একটি গুরুত্বপূর্ণ সরকারি মেডিকেল কলেজ, যেটি মধ্যাঞ্চলে চিকিৎসক তৈরির ক্ষেত্রে ক্রমেই গুরুত্বপূর্ণ হয়ে উঠছে।</t>
  </si>
  <si>
    <t>SHMCT</t>
  </si>
  <si>
    <t>Tangail-1900</t>
  </si>
  <si>
    <t>shmct@ac.dghs.gov.bd</t>
  </si>
  <si>
    <t>https://shmct.gov.bd</t>
  </si>
  <si>
    <t>Sheikh Hasina Medical College Habiganj</t>
  </si>
  <si>
    <t>Sheikh Hasina Medical College Habiganj নামে যে প্রতিষ্ঠানটি পরিচিত ছিল, তার বর্তমান পরিচিত নাম Habiganj Medical College; নির্ভরযোগ্য উন্মুক্ত উৎসে উল্লেখ আছে যে এটি ২০১৭ সালে প্রতিষ্ঠিত হয় এবং ২০১৮ সালের জানুয়ারিতে প্রথম ব্যাচের শিক্ষার্থীরা অস্থায়ী ক্যাম্পাসে ক্লাস শুরু করে। সাম্প্রতিক সংকলিত তথ্য অনুযায়ী এটি বর্তমানে Sylhet Medical University-এর অধিভুক্ত, যদিও প্রাথমিক পর্যায়ে Shahjalal University of Science and Technology-এর সঙ্গেও একাডেমিক সম্পর্ক ছিল। হবিগঞ্জের মতো জেলায় সরকারি মেডিকেল কলেজ প্রতিষ্ঠার অর্থ হলো—উত্তর-পূর্বাঞ্চলে চিকিৎসাশিক্ষা ও স্বাস্থ্যসেবা উভয় ক্ষেত্রেই একটি নতুন কেন্দ্র গড়ে ওঠা। নতুন প্রতিষ্ঠানের বৈশিষ্ট্য হিসেবে এখানে অবকাঠামো ও প্রতিষ্ঠানিক ঐতিহ্য ধীরে ধীরে বিকশিত হচ্ছে, কিন্তু এই evolving অবস্থাটাই অনেক শিক্ষার্থীর জন্য সুযোগ; কারণ তারা একটি growing medical institution-এর প্রাথমিক প্রজন্মের অংশ হতে পারে। সরকারি পোর্টালের URL-সংক্রান্ত তথ্য এবং উন্মুক্ত কলেজ-বিবরণী দেখায় যে এটি সরকারি কাঠামোর মধ্যেই পরিচালিত এবং MBBS-কেন্দ্রিক চিকিৎসাশিক্ষা প্রদান করে। হবিগঞ্জ অঞ্চলের চিকিৎসাসেবা, স্থানীয় রোগীপ্রবাহ এবং সিলেট বিভাগের মেডিকেল একাডেমিক বিস্তারের সঙ্গে এই কলেজের সরাসরি সম্পর্ক রয়েছে। একজন শিক্ষার্থীর জন্য এর বড় সুবিধা হলো—নিজ অঞ্চলের কাছাকাছি সরকারি MBBS শিক্ষা, নতুন ক্যাম্পাসভিত্তিক academic attention, এবং ভবিষ্যতে বিস্তৃত clinical ও professional network-এর সম্ভাবনা। যারা Sylhet division-এর কাছাকাছি থেকে সরকারি চিকিৎসাশিক্ষা নিতে চায় এবং নতুন কিন্তু প্রতিষ্ঠিত হওয়ার পথে থাকা একটি কলেজে নিজেদের জায়গা তৈরি করতে চায়, তাদের জন্য Sheikh Hasina Medical College Habiganj বা বর্তমান Habiganj Medical College একটি গুরুত্বপূর্ণ বিকল্প।</t>
  </si>
  <si>
    <t>SHMCH</t>
  </si>
  <si>
    <t>Habiganj-3300</t>
  </si>
  <si>
    <t>shmch@ac.dghs.gov.bd</t>
  </si>
  <si>
    <t>https://shmch.gov.bd</t>
  </si>
  <si>
    <t>Shaheed Ziaur Rahman Medical College</t>
  </si>
  <si>
    <t>Shaheed Ziaur Rahman Medical College বগুড়ার একটি সুপ্রতিষ্ঠিত সরকারি মেডিকেল কলেজ, যা ১৯৯২ সালের ৫ নভেম্বর প্রতিষ্ঠিত হয় এবং উত্তরবঙ্গের চিকিৎসাশিক্ষা ও tertiary healthcare কাঠামোর অন্যতম প্রধান স্তম্ভ হিসেবে পরিচিত। সরকারি পোর্টাল, উন্মুক্ত রেফারেন্স এবং সাম্প্রতিক সংগৃহীত তথ্য অনুযায়ী এটি বর্তমানে Rajshahi Medical University-এর সঙ্গে MBBS পর্যায়ে এবং Bangladesh Medical University-এর সঙ্গে postgraduate পর্যায়ে একাডেমিকভাবে যুক্ত। এর ক্যাম্পাস বগুড়ায় অবস্থিত এবং সংকলিত তথ্য অনুযায়ী প্রায় ৪০ একর এলাকাজুড়ে বিস্তৃত, যা সরকারি হাসপাতাল ও মেডিকেল কলেজসমন্বিত একটি বড় চিকিৎসা-শিক্ষা অবকাঠামো নির্দেশ করে। সরকারি পোর্টালে বিভাগ, প্রশাসন, পরিচালক, নোটিশ, সেবা, MIS এবং হাসপাতালভিত্তিক কার্যক্রমের উপস্থিতি রয়েছে, যা এটিকে একটি mature clinical teaching institution হিসেবে তুলে ধরে। ১৯৯০-এর দশক থেকে কার্যক্রম চালিয়ে আসার কারণে এর একাডেমিক ঐতিহ্য, অ্যালামনাই নেটওয়ার্ক এবং ক্লিনিক্যাল exposure—সবই তুলনামূলকভাবে শক্তিশালী। উত্তরবঙ্গের বৃহৎ রোগীপ্রবাহ, আঞ্চলিক স্বাস্থ্যচ্যালেঞ্জ এবং হাসপাতাল-সংযুক্ত বাস্তব প্রশিক্ষণ এই কলেজের শিক্ষার্থীদের জন্য সমৃদ্ধ clinical learning environment তৈরি করে। একজন শিক্ষার্থীর জন্য Shaheed Ziaur Rahman Medical College-এর বড় শক্তি হলো—এটি নতুন কলেজের মতো পরীক্ষামূলক পর্যায়ে নেই, বরং বহু বছরের প্রতিষ্ঠিত সরকারি মেডিকেল শিক্ষা কাঠামো, বিস্তৃত রোগীভিত্তিক প্রশিক্ষণ এবং শক্তিশালী উত্তরবঙ্গীয় স্বাস্থ্য-বাস্তবতার মধ্যে ডাক্তারি শিক্ষা দেয়। যারা সরকারি মেডিকেল কলেজে পড়ে শক্ত clinical foundation, ঐতিহ্য, আঞ্চলিক প্রভাব এবং দীর্ঘমেয়াদি পেশাগত গ্রহণযোগ্যতা খুঁজছে, তাদের জন্য Shaheed Ziaur Rahman Medical College একটি অত্যন্ত সম্মানজনক ও নির্ভরযোগ্য পছন্দ।</t>
  </si>
  <si>
    <t>SZMC</t>
  </si>
  <si>
    <t>Chilimpur, Bogura</t>
  </si>
  <si>
    <t>szmc@ac.dghs.gov.bd</t>
  </si>
  <si>
    <t>https://szmc.gov.bd</t>
  </si>
  <si>
    <t>Shaheed Tajuddin Ahmad Medical College</t>
  </si>
  <si>
    <t>Shaheed Tajuddin Ahmad Medical College গাজীপুরে অবস্থিত একটি সরকারি মেডিকেল কলেজ, যা ২০১৩ সালে Gazipur Medical College হিসেবে প্রতিষ্ঠিত হয়ে ২০১৪ সালে বর্তমান নাম ধারণ করে; এর অফিসিয়াল ওয়েবসাইট এবং ঢাকা বিশ্ববিদ্যালয়ভিত্তিক constituent college পেজ—উভয় উৎসেই এর পরিচয় ও একাডেমিক অবস্থান নিশ্চিত করা হয়েছে। অফিসিয়াল ওয়েবসাইটে DGME, BMDC, BCPS, BSMMU, PubMed এবং অন্যান্য চিকিৎসা-সম্পর্কিত রিসোর্সের সংযোগ, principal-এর তথ্য এবং প্রশাসনিক কাঠামোর উপস্থিতি দেখা যায়, যা এটিকে একটি সুসংগঠিত সরকারি medical institution হিসেবে প্রতিষ্ঠা করে। উন্মুক্ত নির্ভরযোগ্য তথ্য অনুযায়ী এটি University of Dhaka-এর constituent college এবং প্রতি বছর উল্লেখযোগ্য সংখ্যক MBBS শিক্ষার্থী ভর্তি করে। গাজীপুরের অবস্থানগত সুবিধা এখানে গুরুত্বপূর্ণ—ঢাকার খুব কাছাকাছি হওয়ায় শিক্ষার্থীরা একদিকে রাজধানীর চিকিৎসা ও একাডেমিক নেটওয়ার্কের কাছে থাকে, অন্যদিকে নিজস্ব সরকারি মেডিকেল কলেজ ও হাসপাতালভিত্তিক ক্লিনিক্যাল প্রশিক্ষণও পায়। নতুন প্রজন্মের সরকারি মেডিকেল কলেজগুলোর মধ্যে এটি একটি পরিচিত নাম, কারণ এর প্রতিষ্ঠাকাল সাম্প্রতিক হলেও এখন এটি যথেষ্ট দৃশ্যমান, কার্যকর এবং একাডেমিকভাবে স্থিতিশীল। একজন শিক্ষার্থীর জন্য এখানে পড়ার অর্থ হলো MBBS-এর পাশাপাশি structured institutional support, সরকারি চিকিৎসা-শিক্ষা পরিবেশ, গাজীপুরের শিল্প ও জনঘনত্বপূর্ণ বাস্তবতার মধ্যে clinical understanding, এবং ঢাকা-কেন্দ্রিক medical ecosystem-এর সাথে পরোক্ষ সংযোগ পাওয়া। যারা নতুন প্রজন্মের কিন্তু ইতোমধ্যে পরিচিতি পাওয়া সরকারি মেডিকেল কলেজে পড়ে নিজেদের চিকিৎসক-পরিচয় গড়তে চায়, তাদের জন্য Shaheed Tajuddin Ahmad Medical College একটি দৃঢ়, ব্যবহারিক এবং ক্যারিয়ার-উপযোগী পছন্দ।</t>
  </si>
  <si>
    <t>STAMC</t>
  </si>
  <si>
    <t>Gazipur-1700</t>
  </si>
  <si>
    <t>stamc@ac.dghs.gov.bd</t>
  </si>
  <si>
    <t>https://stamc.gov.bd</t>
  </si>
  <si>
    <t>Shaheed Syed Nazrul Islam Medical College</t>
  </si>
  <si>
    <t>Shaheed Syed Nazrul Islam Medical College কিশোরগঞ্জের যশোদল এলাকায় অবস্থিত একটি সরকারি মেডিকেল কলেজ, যার অফিসিয়াল ওয়েবসাইটে স্পষ্টভাবে উল্লেখ আছে যে এটি ২০১১ সালে প্রতিষ্ঠিত এবং University of Dhaka-এর constituent college হিসেবে পরিচালিত হয়। একই অফিসিয়াল উৎসে আরও বলা হয়েছে যে এখানে পাঁচ বছর মেয়াদি MBBS degree program চালু আছে এবং প্রতি বছর নির্দিষ্ট সংখ্যক শিক্ষার্থী ভর্তি হয়। কলেজটির official site শুধু সাধারণ পরিচিতিই দেয় না; সেখানে journal, teachers, notice, forms, students, citizen charter, photo gallery এবং contact information-ও রয়েছে, যা এটিকে একটি সক্রিয় ও সংগঠিত একাডেমিক প্রতিষ্ঠান হিসেবে তুলে ধরে। ২০২৬ সালের journal issue-র উপস্থিতি থেকে বোঝা যায় যে এখানে নিয়মিত scholarly publication ও একাডেমিক লেখালেখির পরিবেশও আছে, যা মেডিকেল শিক্ষা ও medical ethics, professionalism এবং clinical reasoning–এর মতো বিষয়ে জ্ঞানচর্চাকে এগিয়ে নিতে সহায়ক। কিশোরগঞ্জ অঞ্চলে এই কলেজের গুরুত্ব অনেক, কারণ এটি স্থানীয় ও আশপাশের জেলার শিক্ষার্থীদের জন্য সরকারি চিকিৎসাশিক্ষার একটি শক্তিশালী সুযোগ তৈরি করেছে। সরকারি মেডিকেল কলেজ হিসেবে এটি ক্লিনিক্যাল হাসপাতালভিত্তিক শিক্ষা, প্রাক-ক্লিনিক্যাল ও প্যারা-ক্লিনিক্যাল বিভাগসমূহের প্রশিক্ষণ এবং doctor formation-এর দীর্ঘমেয়াদি কাঠামো প্রদান করে। একজন শিক্ষার্থীর জন্য Shaheed Syed Nazrul Islam Medical College-এর আকর্ষণ হলো—এটি নতুন ও পুরোনো প্রতিষ্ঠানের মাঝামাঝি এক পর্যায়ে পৌঁছেছে, অর্থাৎ যথেষ্ট প্রতিষ্ঠিত, কিন্তু এখনো growth ও expansion-এর ধারা বজায় রেখেছে। যারা সরকারি MBBS program, ঢাকা বিশ্ববিদ্যালয়-সংযুক্ত একাডেমিক পরিচয়, medical journal culture এবং কিশোরগঞ্জে তুলনামূলকভাবে focused academic environment খুঁজছে, তাদের জন্য Shaheed Syed Nazrul Islam Medical College একটি গুরুত্বপূর্ণ ও নির্ভরযোগ্য প্রতিষ্ঠান।</t>
  </si>
  <si>
    <t>SSNIMC</t>
  </si>
  <si>
    <t>Kishoreganj-2300</t>
  </si>
  <si>
    <t>ssnimc@ac.dghs.gov.bd</t>
  </si>
  <si>
    <t>https://ssnimc.gov.bd</t>
  </si>
  <si>
    <t>Shaheed Suhrawardy Medical College</t>
  </si>
  <si>
    <t>Shaheed Suhrawardy Medical College ঢাকার শেরেবাংলা নগরে জাতীয় সংসদ ভবনের কাছাকাছি অবস্থিত একটি গুরুত্বপূর্ণ সরকারি মেডিকেল কলেজ, যা ২০০৬ সালে মেডিকেল কলেজ হিসেবে প্রতিষ্ঠিত হলেও এর হাসপাতালভিত্তিক ঐতিহাসিক শিকড় আরও পুরোনো; অফিসিয়াল তথ্য অনুযায়ী এটি ঢাকার অন্যতম বড় সরকারি শিক্ষাচিকিৎসা প্রতিষ্ঠান এবং হাসপাতাল ও কলেজ মিলিয়ে একটি শক্তিশালী clinical-academic ecosystem গড়ে তুলেছে। এর ক্যাম্পাস নগরভিত্তিক হওয়ায় শিক্ষার্থীরা একদিকে রাজধানীর কেন্দ্রীয় চিকিৎসা অবকাঠামোর সঙ্গে যুক্ত থাকতে পারে, অন্যদিকে একটি উচ্চ-রোগীচাপের সরকারি হাসপাতালে হাতে-কলমে ক্লিনিক্যাল শিক্ষা গ্রহণের সুযোগ পায়। কলেজের অফিসিয়াল পোর্টালে বিভাগসমূহ, শিক্ষক-শিক্ষার্থী পোর্টাল, ভর্তি, ফর্ম ফিলাপ, ক্লাব এবং প্রশাসনিক কাঠামোর উপস্থিতি থেকে বোঝা যায় যে এখানে MBBS-এর পাশাপাশি সুসংগঠিত একাডেমিক ব্যবস্থাপনা চালু আছে। হাসপাতালভিত্তিক সাইটে এটিকে রাজধানীর অন্যতম গুরুত্বপূর্ণ সরকারি general hospital হিসেবে বর্ণনা করা হয়েছে, যেখানে indoor, outdoor, emergency এবং diagnostic services সক্রিয়। একজন শিক্ষার্থীর জন্য এই কলেজের সবচেয়ে বড় শক্তি হলো এর clinical exposure—ঢাকার ভিন্ন সামাজিক-অর্থনৈতিক স্তরের বিপুল রোগীর সঙ্গে প্রতিদিনের সংযোগ চিকিৎসা-শিক্ষাকে বাস্তবধর্মী করে তোলে। একই সঙ্গে debating club, science club, computer club, blood donation club এবং cultural club-এর মতো সহশিক্ষা কার্যক্রম শিক্ষার্থীদের ব্যক্তিত্ব ও নেতৃত্ব বিকাশেও ভূমিকা রাখে। যারা ঢাকায় থেকেই সরকারি মেডিকেল শিক্ষার শক্তিশালী পরিবেশ, হাসপাতাল-সংযুক্ত ক্লিনিক্যাল বাস্তবতা এবং পেশাগত নেটওয়ার্কের সুবিধা নিতে চায়, তাদের জন্য Shaheed Suhrawardy Medical College একটি অত্যন্ত মর্যাদাপূর্ণ ও কার্যকর পছন্দ।</t>
  </si>
  <si>
    <t>ShSMC</t>
  </si>
  <si>
    <t>Sher-e-Bangla Nagar, Dhaka</t>
  </si>
  <si>
    <t>shsmc@ac.dghs.gov.bd</t>
  </si>
  <si>
    <t>https://shsmc.gov.bd</t>
  </si>
  <si>
    <t>Shaheed M. Monsur Ali Medical College</t>
  </si>
  <si>
    <t>Shaheed M. Monsur Ali Medical College বলতে এখানে সিরাজগঞ্জের সরকারি শহীদ এম. মনসুর আলী মেডিকেল কলেজকেই বোঝানো হচ্ছে, যার সরকারি পোর্টাল সক্রিয় এবং যেখানে ভর্তি, একাডেমিক নোটিশ, প্রশাসন ও প্রাতিষ্ঠানিক তথ্য নিয়মিত প্রকাশিত হয়। এই কলেজটি উত্তর-মধ্যাঞ্চলে সরকারি চিকিৎসাশিক্ষা বিস্তারের একটি গুরুত্বপূর্ণ পদক্ষেপ হিসেবে গড়ে উঠেছে এবং নতুন প্রজন্মের সরকারি মেডিকেল কলেজগুলোর মধ্যে একটি উল্লেখযোগ্য নাম। সরকারি পোর্টাল থেকে বোঝা যায় যে কলেজটি সংগঠিত প্রশাসনিক কাঠামো, নোটিশ বোর্ড, অফিস আদেশ, একাডেমিক আপডেট এবং সেবা-সংক্রান্ত তথ্য নিয়মিতভাবে পরিচালনা করছে, যা একটি operational institution হিসেবে এর পরিণতিকে নির্দেশ করে। নতুন প্রজন্মের কলেজ হওয়ায় এর সবচেয়ে বড় সুবিধা হলো—এখানে শিক্ষার্থীরা তুলনামূলকভাবে growing institutional culture-এর অংশ হয়, যেখানে শিক্ষক-শিক্ষার্থী যোগাযোগ, ব্যাচ-পরিচিতি এবং প্রশাসনিক মনোযোগ অনেক সময় বেশি ঘনিষ্ঠ হয়। সিরাজগঞ্জ অঞ্চলের রোগীসেবা, জেলা-নির্ভর স্বাস্থ্যব্যবস্থা এবং সরকারি হাসপাতালসংযুক্ত প্রশিক্ষণ-বাস্তবতার মধ্যে চিকিৎসা শিক্ষা গ্রহণ করার সুযোগ কলেজটির গুরুত্ব বাড়ায়। একজন শিক্ষার্থীর জন্য এখানে পড়ার অর্থ হলো MBBS-এর নিয়মিত জাতীয় পাঠ্যক্রমের পাশাপাশি নিজ অঞ্চলের কাছাকাছি একটি সরকারি মেডিকেল কলেজে ক্লিনিক্যাল ভিত্তি তৈরি করা। যাঁরা ঢাকার বাইরে কিন্তু সরকারি, স্বীকৃত এবং ধীরে ধীরে শক্তিশালী হয়ে ওঠা একটি মেডিকেল কলেজে পড়তে চান, তাঁদের জন্য Shaheed M. Monsur Ali Medical College একটি বাস্তবসম্মত ও সম্ভাবনাময় নির্বাচন।</t>
  </si>
  <si>
    <t>SMMAMC</t>
  </si>
  <si>
    <t>Sirajganj-6700</t>
  </si>
  <si>
    <t>smmamc@ac.dghs.gov.bd</t>
  </si>
  <si>
    <t>https://smmamc.gov.bd</t>
  </si>
  <si>
    <t>Satkhira Medical College</t>
  </si>
  <si>
    <t>Satkhira Medical College সাতক্ষীরার একটি সরকারি মেডিকেল কলেজ, যার সরকারি পোর্টাল ২০২৬ সাল পর্যন্ত নিয়মিত আপডেটেড এবং যেখানে MBBS পাঠ্যক্রম, ফেজভিত্তিক বিভাগ, ল্যাব সার্ভিস, লাইব্রেরি, আবাসন, ক্রীড়া ও সাংস্কৃতিক কার্যক্রম, গবেষণা এবং শিক্ষার্থীভিত্তিক সাফল্যের তথ্য পাওয়া যায়। এই কাঠামো থেকেই বোঝা যায় যে এটি শুধু নামমাত্র কলেজ নয়, বরং ধাপে ধাপে একটি পূর্ণাঙ্গ teaching institution হিসেবে বিকশিত হয়েছে। এর সরকারি সাইটে Phase 1 থেকে Phase 4 পর্যন্ত course structure, histopathology, hematology, microbiology এবং biochemistry-এর মতো laboratory service, journal, forms, prospectus, academic notice এবং clinical class routine প্রকাশিত হওয়া দেখায় যে একাডেমিক কার্যক্রম এখানে যথেষ্ট সংগঠিত। দক্ষিণ-পশ্চিমাঞ্চলের উপকূলীয় বাস্তবতা, সীমান্তঘেঁষা জনপদ, গ্রামীণ স্বাস্থ্যচাহিদা এবং আঞ্চলিক রোগীপ্রবাহ এই কলেজের চিকিৎসাশিক্ষাকে বাস্তবধর্মী করে তোলে। ছাত্রজীবনের ক্ষেত্রে sports and cultural week, batch activities, seminar এবং institutional events–এর উপস্থিতি একটি ক্যাম্পাসসুলভ পরিবেশের ইঙ্গিত দেয়, যা দীর্ঘ ও demanding মেডিকেল শিক্ষার ভেতর ভারসাম্য আনে। যারা উপকূলীয় দক্ষিণ-পশ্চিমাঞ্চলে সরকারি চিকিৎসাশিক্ষা নিতে চায় এবং একই সঙ্গে একটি growing but structured academic setup খুঁজছে, তাদের জন্য Satkhira Medical College একটি গুরুত্বপূর্ণ ও ব্যবহারিক পছন্দ।</t>
  </si>
  <si>
    <t>SMC</t>
  </si>
  <si>
    <t>Satkhira-9400</t>
  </si>
  <si>
    <t>smc@ac.dghs.gov.bd</t>
  </si>
  <si>
    <t>https://smc.gov.bd</t>
  </si>
  <si>
    <t>Rangpur Medical College</t>
  </si>
  <si>
    <t>Rangpur Medical College বাংলাদেশের উত্তরাঞ্চলের অন্যতম ঐতিহ্যবাহী সরকারি মেডিকেল কলেজ এবং রংপুর অঞ্চলের চিকিৎসাশিক্ষা ও tertiary healthcare-এর একটি কেন্দ্রীয় প্রতিষ্ঠান। কলেজটির অফিসিয়াল সাইট এবং সরকারি পোর্টাল থেকে বোঝা যায় যে এটি কেবল একটি পুরোনো মেডিকেল কলেজই নয়, বরং একটি কার্যকর চিকিৎসা-শিক্ষা ও সেবা প্রতিষ্ঠান, যেখানে প্রশাসন, নোটিশ, একাডেমিক সেবা এবং institutional governance সক্রিয়। উত্তরবঙ্গের বৃহৎ জনগোষ্ঠীর জন্য উন্নত চিকিৎসা ও প্রশিক্ষিত চিকিৎসক তৈরিতে এর ভূমিকা দীর্ঘদিনের। সরকারি মেডিকেল কলেজ হিসেবে এর MBBS শিক্ষা মূলত lecture, pre-clinical training, para-clinical exposure এবং hospital-based clinical teaching–এর সমন্বয়ে পরিচালিত হয়। রংপুর অঞ্চলের রোগীর ধরন, আঞ্চলিক স্বাস্থ্যসমস্যা, গ্রামীণ-শহুরে সংমিশ্রণ এবং বড় হাসপাতালভিত্তিক exposure শিক্ষার্থীদের জন্য অত্যন্ত মূল্যবান। দীর্ঘদিনের উপস্থিতির কারণে এর অ্যালামনাই নেটওয়ার্ক, শিক্ষকসংস্থান এবং চিকিৎসা পেশায় গ্রহণযোগ্যতাও তুলনামূলকভাবে শক্তিশালী। একজন শিক্ষার্থীর জন্য Rangpur Medical College-এর প্রধান আকর্ষণ হলো—এটি একটি প্রতিষ্ঠিত সরকারি মেডিকেল কলেজ, যেখানে clinical volume, public sector training এবং উত্তরাঞ্চলে থেকে উচ্চমানের চিকিৎসাশিক্ষা অর্জনের সুযোগ একসঙ্গে পাওয়া যায়। যাঁরা পুরোনো ও নির্ভরযোগ্য সরকারি মেডিকেল কলেজে পড়ে শক্ত clinical foundation গড়তে চান, তাঁদের জন্য Rangpur Medical College অত্যন্ত সম্মানজনক একটি বিকল্প।</t>
  </si>
  <si>
    <t>RpMC</t>
  </si>
  <si>
    <t>Rangpur-5400</t>
  </si>
  <si>
    <t>rpmc@ac.dghs.gov.bd</t>
  </si>
  <si>
    <t>https://rangpurmedical.gov.bd</t>
  </si>
  <si>
    <t>Rangamati Medical College</t>
  </si>
  <si>
    <t>Rangamati Medical College পার্বত্য চট্টগ্রামের একটি গুরুত্বপূর্ণ সরকারি মেডিকেল কলেজ, যা ২০১৪ সালে প্রতিষ্ঠিত হয় এবং রাঙামাটি অঞ্চলে চিকিৎসাশিক্ষার নতুন দিগন্ত উন্মোচন করে। সরকারি পোর্টাল ও নির্ভরযোগ্য উন্মুক্ত তথ্য অনুযায়ী এটি MBBS program পরিচালনা করে এবং একসময়/বর্তমানে চট্টগ্রামভিত্তিক মেডিকেল বিশ্ববিদ্যালয় কাঠামোর সঙ্গে একাডেমিকভাবে যুক্ত। এই কলেজের বিশেষত্ব হলো এর অবস্থান—বাংলাদেশের পার্বত্য, জাতিগত ও ভৌগোলিকভাবে স্বতন্ত্র অঞ্চলে একটি সরকারি মেডিকেল কলেজ হিসেবে এটি স্বাস্থ্যসেবা ও চিকিৎসাশিক্ষা উভয় দিক থেকেই তাৎপর্যপূর্ণ। রাঙামাটি অঞ্চলের পাহাড়ি জনপদ, ভৌগোলিক বিচ্ছিন্নতা, স্থানীয় জনগোষ্ঠীর স্বাস্থ্যচাহিদা এবং পার্বত্য চিকিৎসা বাস্তবতা শিক্ষার্থীদের জন্য একেবারেই ভিন্ন ধরনের clinical learning experience তৈরি করে। নতুন প্রজন্মের সরকারি মেডিকেল কলেজ হওয়ায় এর অ্যালামনাই ঐতিহ্য দীর্ঘ নয়, কিন্তু এটাই এর আলাদা সুযোগ—এখানে পড়া মানে একটি evolving institution-এর অংশ হওয়া এবং অঞ্চলভিত্তিক স্বাস্থ্যখাতে প্রত্যক্ষ অবদান রাখার সম্ভাবনা তৈরি করা। যারা পার্বত্য অঞ্চলে সরকারি চিকিৎসাশিক্ষা, স্বতন্ত্র সামাজিক বাস্তবতার clinical exposure এবং তুলনামূলকভাবে নতুন একটি কলেজে গড়ে ওঠার অংশ হতে চায়, তাদের জন্য Rangamati Medical College একটি উল্লেখযোগ্য ও ব্যতিক্রমধর্মী পছন্দ।</t>
  </si>
  <si>
    <t>RaMC</t>
  </si>
  <si>
    <t>Rangamati-4500</t>
  </si>
  <si>
    <t>ramc@ac.dghs.gov.bd</t>
  </si>
  <si>
    <t>https://ramc.gov.bd</t>
  </si>
  <si>
    <t>Rajshahi Medical University</t>
  </si>
  <si>
    <t>Rajshahi Medical University উত্তরবঙ্গের চিকিৎসা, দন্তচিকিৎসা, নার্সিং ও allied health education–এর তদারকি, মানোন্নয়ন এবং একাডেমিক সমন্বয়ের জন্য প্রতিষ্ঠিত একটি সরকারি বিশেষায়িত বিশ্ববিদ্যালয়, যার অফিসিয়াল সাইটে একে উত্তরবঙ্গের একমাত্র মেডিকেল বিশ্ববিদ্যালয় হিসেবে উপস্থাপন করা হয়েছে। ২০১৭ সালে প্রতিষ্ঠিত এই বিশ্ববিদ্যালয় নিজে কেবল একটি একক teaching campus নয়; বরং বিভিন্ন public and private medical institution, nursing college, dental college ও health technology-related প্রতিষ্ঠানের একাডেমিক তত্ত্বাবধান ও পরীক্ষাব্যবস্থার কেন্দ্র হিসেবে কাজ করে। অফিসিয়াল সাইটে নিয়মিত ফলাফল, নোটিশ, faculty meeting, institution visit এবং affiliated institutions–এর সঙ্গে মতবিনিময়ের তথ্য দেখা যায়, যা বিশ্ববিদ্যালয়টির regulatory-academic চরিত্রকে স্পষ্ট করে। এর গুরুত্ব বিশেষ করে এইখানে যে, চিকিৎসাশিক্ষার মান, পরীক্ষা, ফল, একাডেমিক নীতিমালা এবং প্রাতিষ্ঠানিক সমন্বয়কে উত্তরাঞ্চলে একটি কেন্দ্রীয় কাঠামোর মধ্যে আনা হয়েছে। একজন শিক্ষার্থীর জন্য Rajshahi Medical University-তে সরাসরি traditional campus life-এর অভিজ্ঞতা না থাকলেও এর অধিভুক্ত কোনো কলেজে পড়ার মানে হলো একটি বিশেষায়িত medical university–নিয়ন্ত্রিত একাডেমিক ব্যবস্থার অংশ হওয়া। যারা medical education administration, postgraduate medical structure, nursing, dental ও health sciences governance–এর বড় প্রেক্ষাপট বুঝতে চায়, তাদের কাছে Rajshahi Medical University বাংলাদেশের উত্তরাঞ্চলের চিকিৎসা-একাডেমিক অবকাঠামোর একটি অত্যন্ত গুরুত্বপূর্ণ নাম।</t>
  </si>
  <si>
    <t>RMU</t>
  </si>
  <si>
    <t>Rajshahi-6000, Bangladesh</t>
  </si>
  <si>
    <t>info@rmu.edu.bd</t>
  </si>
  <si>
    <t>https://rmu.ac.bd</t>
  </si>
  <si>
    <t>https://dgme.gov.bd</t>
  </si>
  <si>
    <t>Rajshahi Medical College</t>
  </si>
  <si>
    <t>Rajshahi Medical College বাংলাদেশের সবচেয়ে ঐতিহ্যবাহী সরকারি মেডিকেল কলেজগুলোর একটি এবং ১৯৫৮ সালে প্রতিষ্ঠার মাধ্যমে এটি তৎকালীন পূর্ব পাকিস্তানে ঢাকা মেডিকেল কলেজের পর দ্বিতীয় সরকারি মেডিকেল কলেজ হিসেবে পরিচিতি লাভ করে। অফিসিয়াল সাইটে এটিকে উত্তরাঞ্চলের advanced healthcare-এর কেন্দ্রীয় প্রদানকারী প্রতিষ্ঠান হিসেবে বর্ণনা করা হয়েছে, এবং এর সঙ্গে সংযুক্ত Rajshahi Medical College Hospital উত্তরবঙ্গের বিশাল রোগীসমষ্টির জন্য tertiary care ও clinical training–এর প্রধান কেন্দ্র। দীর্ঘ ইতিহাসের কারণে এই কলেজে একদিকে রয়েছে চিকিৎসাশিক্ষার শক্তিশালী ঐতিহ্য, অন্যদিকে রয়েছে বড় হাসপাতালভিত্তিক বহুমুখী clinical exposure। MBBS শিক্ষার্থীরা এখানে pre-clinical, para-clinical ও clinical phase–এর ধারাবাহিক প্রশিক্ষণ লাভ করে, আর হাসপাতালের inpatient, outpatient, emergency, laboratory, radiology, ICU, operation theatre ও vaccination service–এর মতো পরিসর শিক্ষাকে বাস্তবভিত্তিক করে তোলে। পুরোনো প্রতিষ্ঠানের সুবিধা হিসেবে শিক্ষকসংস্থান, অ্যালামনাই শক্তি, একাডেমিক মর্যাদা এবং পেশাগত গ্রহণযোগ্যতা অত্যন্ত দৃঢ়। একজন শিক্ষার্থীর জন্য Rajshahi Medical College-এর সবচেয়ে বড় শক্তি হলো—এখানে পড়া মানে এমন একটি প্রতিষ্ঠানের অংশ হওয়া, যা উত্তরবঙ্গের চিকিৎসাব্যবস্থার হৃদপিণ্ডের মতো কাজ করে। যাঁরা ঐতিহ্য, clinical intensity, শক্তিশালী সরকারি পরিচয় এবং দীর্ঘমেয়াদি চিকিৎসক-পরিচিতির ভিত গড়তে চান, তাঁদের জন্য Rajshahi Medical College নিঃসন্দেহে বাংলাদেশের অন্যতম শীর্ষ পছন্দ।</t>
  </si>
  <si>
    <t>RMC</t>
  </si>
  <si>
    <t>Laxmipur, Rajshahi-6000</t>
  </si>
  <si>
    <t>rmc@ac.dghs.gov.bd</t>
  </si>
  <si>
    <t>https://rmc.gov.bd</t>
  </si>
  <si>
    <t>Patuakhali Medical College</t>
  </si>
  <si>
    <t>Patuakhali Medical College পটুয়াখালির একটি সরকারি মেডিকেল কলেজ, যা ২০১৪ সালে প্রতিষ্ঠিত হয়ে ২০১৫ সাল থেকে একাডেমিক কার্যক্রম চালু করে এবং বর্তমানে সরকারি পোর্টালে নিয়মিত MBBS ভর্তি, বিভাগীয় কার্যক্রম, লাইব্রেরি, জার্নাল, সেমিনার, প্রশাসন ও ছাত্র-সংক্রান্ত সেবার তথ্য প্রকাশ করে। কলেজটির বিশেষত্ব হলো এটি দক্ষিণাঞ্চলের উপকূলীয় বাস্তবতায় চিকিৎসাশিক্ষা বিস্তারের একটি গুরুত্বপূর্ণ অংশ। পোর্টালে বিভাগসমূহ, পাঠ্যক্রম, লাইব্রেরি ক্যাটালগ, জার্নাল আর্কাইভ, workshop/seminar, administrative structure এবং procurement-related তথ্য পাওয়া যায়, যা এর একাডেমিক ও প্রশাসনিক পরিণতিকে নির্দেশ করে। উপকূলীয় অঞ্চল হওয়ায় জনস্বাস্থ্য, দুর্যোগ-পরবর্তী চিকিৎসা, মাতৃস্বাস্থ্য, শিশুসেবা এবং গ্রামীণ স্বাস্থ্যসেবার বাস্তব সমস্যা এ কলেজের শিক্ষার্থীদের clinical understanding-কে সমৃদ্ধ করতে পারে। নতুন প্রজন্মের সরকারি মেডিকেল কলেজ হলেও এটি দ্রুত একটি সংগঠিত প্রতিষ্ঠানে পরিণত হয়েছে। একজন শিক্ষার্থীর জন্য এখানে পড়াশোনা মানে সরকারি MBBS program, ধীরে ধীরে শক্তিশালী হওয়া academic structure, এবং দক্ষিণাঞ্চলে থেকেই চিকিৎসক হওয়ার বাস্তব সুযোগ। যারা উপকূলীয় অঞ্চলের কাছাকাছি একটি সরকারি মেডিকেল কলেজে পড়ে clinical skill ও সামাজিক প্রাসঙ্গিকতা—দুই-ই অর্জন করতে চায়, তাদের জন্য Patuakhali Medical College একটি কার্যকর ও সম্ভাবনাময় নির্বাচন।</t>
  </si>
  <si>
    <t>PkMC</t>
  </si>
  <si>
    <t>Patuakhali-8600</t>
  </si>
  <si>
    <t>pkmc@ac.dghs.gov.bd</t>
  </si>
  <si>
    <t>https://pkmc.gov.bd</t>
  </si>
  <si>
    <t>Pabna Medical College</t>
  </si>
  <si>
    <t>Pabna Medical College পাবনার একটি গুরুত্বপূর্ণ সরকারি মেডিকেল কলেজ, যা ২০০৮ সালে প্রতিষ্ঠিত হয় এবং দ্রুতই পশ্চিমাঞ্চলের চিকিৎসাশিক্ষার একটি পরিচিত কেন্দ্রে পরিণত হয়। অফিসিয়াল সাইটে কলেজটিকে রাজশাহী বিভাগের নতুন education city হিসেবে পরিচিত পাবনা শহরের একটি leading government medical college বলা হয়েছে, এবং সেখানে MBBS course, academic facilities ও প্রাতিষ্ঠানিক পরিচয়ের স্পষ্ট তথ্য রয়েছে। উন্মুক্ত নির্ভরযোগ্য তথ্য অনুযায়ী এটি Rajshahi Medical University-এর অধিভুক্ত এবং Pabna General Hospital-এর সঙ্গে ক্লিনিক্যাল সংযোগ রাখে। কলেজটির অবস্থান Hemayetpur অঞ্চলে, যা নগর-সংলগ্ন কিন্তু তুলনামূলকভাবে মনোযোগী একাডেমিক পরিবেশ গড়ে তুলতে সহায়ক। এখানে MBBS শিক্ষার্থীরা জাতীয় চিকিৎসা-পাঠ্যক্রম অনুযায়ী ধাপে ধাপে শিক্ষা নেয়, আর ক্লিনিক্যাল সংযোগ তাদের হাতে-কলমে রোগীভিত্তিক শিক্ষা দেয়। Pabna Medical College Journal-এর উপস্থিতি দেখায় যে scholarly publication culture-ও এখানে বিদ্যমান। একজন শিক্ষার্থীর জন্য Pabna Medical College-এর আকর্ষণ হলো—এটি নতুন প্রজন্মের মধ্যেও যথেষ্ট প্রতিষ্ঠিত, সরকারি, এবং clinical ও academic উভয় দিক থেকেই সংগঠিত। যারা পাবনা বা পশ্চিমাঞ্চলে থেকে MBBS করতে চায় এবং একই সঙ্গে একটি steadily growing but recognized college-এ পড়তে চায়, তাদের জন্য Pabna Medical College একটি খুবই উপযোগী পছন্দ।</t>
  </si>
  <si>
    <t>PMC</t>
  </si>
  <si>
    <t>Hemayetpur, Pabna-6600</t>
  </si>
  <si>
    <t>pabnamc@ac.dghs.gov.bd</t>
  </si>
  <si>
    <t>https://pmc.gov.bd</t>
  </si>
  <si>
    <t>Nilphamari Medical College</t>
  </si>
  <si>
    <t>Nilphamari Medical College নীলফামারীর একটি সরকারি মেডিকেল কলেজ, যা ২০১৮ সালে প্রতিষ্ঠিত হয় এবং উত্তরবঙ্গের সীমান্তসংলগ্ন ও তুলনামূলকভাবে অবহেলিত জেলায় চিকিৎসাশিক্ষা বিস্তারের উদ্দেশ্যে গড়ে ওঠে। DGHS facility registry-তে এর প্রতিষ্ঠাবর্ষ ২০১৮ এবং নীলফামারী সদরে এর অবস্থান নিশ্চিত করা হয়েছে, আর সংকলিত উন্মুক্ত তথ্য অনুযায়ী এটি Rajshahi Medical University-এর একাডেমিক কাঠামোর সঙ্গে যুক্ত। নতুন সরকারি মেডিকেল কলেজ হিসেবে এর campus culture, alumni base এবং পরিকাঠামো এখনো বিকাশমান, কিন্তু এর সবচেয়ে বড় শক্তি হলো—এটি নীলফামারী ও আশপাশের শিক্ষার্থীদের জন্য নিজ অঞ্চলে MBBS শিক্ষার সুযোগ তৈরি করেছে। উত্তরাঞ্চলের জেলা ও গ্রামীণ স্বাস্থ্যব্যবস্থার বাস্তবতায় এখানে clinical education-এর স্বভাবও তুলনামূলকভাবে grassroots-oriented হতে পারে। একজন শিক্ষার্থীর জন্য Nilphamari Medical College-এ পড়া মানে growing public institution-এর অংশ হওয়া, যেখানে ধীরে ধীরে নিজস্ব শিক্ষাগত ঐতিহ্য, শিক্ষকবল এবং একাডেমিক পরিচয় তৈরি হচ্ছে। যারা উত্তরাঞ্চলের কাছাকাছি একটি সরকারি মেডিকেল কলেজে চিকিৎসাশিক্ষা নিতে চায় এবং নতুন কিন্তু সরকারি ও স্বীকৃত প্রতিষ্ঠানে নিজেদের গড়ে তুলতে চায়, তাদের জন্য Nilphamari Medical College একটি বাস্তবসম্মত ও সম্ভাবনাময় বিকল্প।</t>
  </si>
  <si>
    <t>NiMC</t>
  </si>
  <si>
    <t>Nilphamari-5400</t>
  </si>
  <si>
    <t>nimc@ac.dghs.gov.bd</t>
  </si>
  <si>
    <t>https://nimc.gov.bd</t>
  </si>
  <si>
    <t>Netrokona Medical College</t>
  </si>
  <si>
    <t>Netrokona Medical College নেত্রকোনার একটি সরকারি মেডিকেল কলেজ, যা ২০১৮ সালে প্রতিষ্ঠিত হয় এবং ২০১৯ সালের শুরুতে প্রথম ব্যাচের ক্লাস শুরু করে; নির্ভরযোগ্য উন্মুক্ত তথ্য অনুযায়ী এটি প্রাথমিকভাবে Netrokona Sadar Hospital-এর অস্থায়ী ক্যাম্পাসে কার্যক্রম শুরু করেছিল এবং Dhaka University-এর সঙ্গে একাডেমিকভাবে যুক্ত। এই ধরনের নতুন সরকারি মেডিকেল কলেজগুলোর মধ্যে Netrokona Medical College-এর বিশেষত্ব হলো—এটি তুলনামূলক কম-সুবিধাপ্রাপ্ত জেলায় চিকিৎসাশিক্ষা ও স্বাস্থ্যসেবা বিস্তারের একটি গুরুত্বপূর্ণ সরকারি উদ্যোগ। নতুন প্রতিষ্ঠান হিসেবে এর চ্যালেঞ্জ থাকলেও, শিক্ষার্থীদের জন্য এতে একটি বিশেষ ধরনের সুযোগ তৈরি হয়: ছোট পরিসরের growing academic environment, প্রাথমিক ব্যাচের অংশ হওয়ার অভিজ্ঞতা, এবং আঞ্চলিক স্বাস্থ্যব্যবস্থার সঙ্গে ঘনিষ্ঠ clinical exposure। নেত্রকোনার সামাজিক-ভৌগোলিক বাস্তবতা, গ্রামীণ জনসংখ্যা এবং জেলা-ভিত্তিক হাসপাতাল কাঠামোর সঙ্গে যুক্ত থেকে ডাক্তারি শিক্ষা গ্রহণ করা জনস্বাস্থ্য ও community medicine–এর দৃষ্টিকোণ থেকেও মূল্যবান হতে পারে। যারা ময়মনসিংহ অঞ্চলের কাছাকাছি সরকারি মেডিকেল কলেজে পড়তে চায় এবং নতুন কিন্তু রাষ্ট্র-সমর্থিত চিকিৎসাশিক্ষা প্রতিষ্ঠানে নিজেদের জায়গা তৈরি করতে আগ্রহী, তাদের জন্য Netrokona Medical College একটি সম্ভাবনাময় নির্বাচন।</t>
  </si>
  <si>
    <t>NeMC</t>
  </si>
  <si>
    <t>Netrokona-2400</t>
  </si>
  <si>
    <t>nemc@ac.dghs.gov.bd</t>
  </si>
  <si>
    <t>https://nemc.gov.bd</t>
  </si>
  <si>
    <t>Naogaon Medical College</t>
  </si>
  <si>
    <t>Naogaon Medical College নওগাঁর একটি সরকারি মেডিকেল কলেজ, যার সরকারি পোর্টাল অত্যন্ত সক্রিয় এবং যেখানে ২০২৫–২৬ শিক্ষাবর্ষের ভর্তি, ব্যাচ ওরিয়েন্টেশন, সেমিনার, জার্নাল, বিভাগসমূহ, একাডেমিক ও প্রশাসনিক নোটিশ নিয়মিত প্রকাশ করা হচ্ছে। এই পোর্টাল-নির্ভর উপস্থিতি দেখায় যে প্রতিষ্ঠানটি এখন কেবল নতুন কলেজ নয়, বরং ধীরে ধীরে একটি সুসংগঠিত সরকারি মেডিকেল একাডেমিক পরিসরে রূপ নিচ্ছে। নির্ভরযোগ্য উন্মুক্ত তথ্য অনুযায়ী এটি ২০১৮ সালে প্রতিষ্ঠিত এবং ২০১৯ সালে প্রথম ব্যাচ শুরু করে; Rajshahi Medical University-এর অধিভুক্ত হওয়ায় এর MBBS program আঞ্চলিক মেডিকেল বিশ্ববিদ্যালয় কাঠামোর সঙ্গে সংযুক্ত। আরও গুরুত্বপূর্ণ হলো, Naogaon Medical College Journal-এর উপস্থিতি, যা গবেষণা ও scholarly publication culture-এর ইঙ্গিত বহন করে। নওগাঁর মতো কৃষিনির্ভর ও আঞ্চলিক জেলায় এই কলেজের উপস্থিতি স্থানীয় স্বাস্থ্যব্যবস্থা ও চিকিৎসাশিক্ষা উভয় ক্ষেত্রেই তাৎপর্যপূর্ণ। একজন শিক্ষার্থীর জন্য এখানে পড়া মানে growing academic institution-এ MBBS করা, যেখানে প্রশাসনিক উপস্থিতি, journal culture, student batch activities এবং clinical exposure—সবই ধীরে ধীরে স্থিতিশীল হচ্ছে। যারা উত্তরবঙ্গের কাছাকাছি সরকারি মেডিকেল কলেজে পড়ে একটি emerging but active academic environment-এর অংশ হতে চায়, তাদের জন্য Naogaon Medical College একটি খুবই উপযোগী বিকল্প।</t>
  </si>
  <si>
    <t>NaMC</t>
  </si>
  <si>
    <t>Naogaon-6500</t>
  </si>
  <si>
    <t>namc@ac.dghs.gov.bd</t>
  </si>
  <si>
    <t>https://namc.gov.bd</t>
  </si>
  <si>
    <t>Mymensingh Medical College</t>
  </si>
  <si>
    <t>Mymensingh Medical College বাংলাদেশের চিকিৎসাশিক্ষার ইতিহাসে এক অত্যন্ত গুরুত্বপূর্ণ নাম, যার সূচনা ১৯২৪ সালে Lytton Medical School হিসেবে এবং যা পরবর্তীতে দেশের অন্যতম পুরোনো ও মর্যাদাপূর্ণ সরকারি মেডিকেল কলেজে রূপান্তরিত হয়। অফিসিয়াল সাইটে noise and pollution free accommodation, automated student and campus administration, well-equipped hospital এবং সমৃদ্ধ academic facilities-এর কথা বলা হয়েছে; আর general information পেজে ক্যাম্পাসের ৮৪ একর বিস্তৃতি, ১০০০ বেডের হাসপাতাল এবং Mymensingh Medical Journal-এর MEDLINE-indexed অবস্থানের উল্লেখ রয়েছে। এই তথ্যগুলো দেখায় যে কলেজটি শুধু ঐতিহ্যবাহী নয়, গবেষণা ও অবকাঠামোগত দিক থেকেও শক্তিশালী। Mymensingh Medical College-এর বড় শক্তি হলো এর দীর্ঘ clinical tradition—এখানে বহু দশক ধরে চিকিৎসক, শিক্ষক, গবেষক এবং বিশেষজ্ঞ তৈরি হয়েছে। বড় হাসপাতাল, দীর্ঘ ইতিহাস, গবেষণা জার্নাল এবং শক্তিশালী একাডেমিক সুনামের কারণে এটি বাংলাদেশের শীর্ষ সরকারি মেডিকেল কলেজগুলোর মধ্যে অন্যতম। ছাত্রজীবনের ক্ষেত্রে এখানে alumni network, student affairs, structured academic support এবং বৃহৎ চিকিৎসা-শিক্ষা পরিবেশ শিক্ষার্থীদের সমৃদ্ধ অভিজ্ঞতা দেয়। যারা পুরোনো ঐতিহ্য, শক্ত clinical volume, গবেষণাভিত্তিক পরিচয় এবং দেশের চিকিৎসা-এলিটের সঙ্গে যুক্ত একটি কলেজে পড়তে চায়, তাদের জন্য Mymensingh Medical College নিঃসন্দেহে অত্যন্ত মর্যাদাপূর্ণ একটি নির্বাচন।</t>
  </si>
  <si>
    <t>091-67001-7</t>
  </si>
  <si>
    <t>MMC</t>
  </si>
  <si>
    <t>Charpara, Mymensingh</t>
  </si>
  <si>
    <t>mmc@ac.dghs.gov.bd</t>
  </si>
  <si>
    <t>https://mmc.gov.bd</t>
  </si>
  <si>
    <t>Mugda Medical College</t>
  </si>
  <si>
    <t>Mugda Medical College ঢাকার মুগদায় অবস্থিত একটি সরকারি মেডিকেল কলেজ ও হাসপাতালসমন্বিত প্রতিষ্ঠান, যা ২০১৫ সালে মেডিকেল কলেজ হিসেবে প্রতিষ্ঠা পায় এবং ২০১৬ সাল থেকে নিয়মিত MBBS কোর্সের ক্লাস শুরু করে। সরকারি পোর্টাল এবং নির্ভরযোগ্য উন্মুক্ত তথ্য অনুযায়ী এটি Mugda General Hospital থেকে পূর্ণাঙ্গ medical college and hospital-এ উন্নীত হয়েছে এবং University of Dhaka-এর সঙ্গে একাডেমিকভাবে যুক্ত। এই কলেজের মূল শক্তি হলো এর নগর clinical setting—ঢাকার ঘনবসতিপূর্ণ অঞ্চলের একটি সরকারি হাসপাতালভিত্তিক শিক্ষাপ্রতিষ্ঠান হিসেবে এখানে রোগীর বৈচিত্র্য, জরুরি সেবা, urban disease pattern এবং পাবলিক হাসপাতালের দৈনন্দিন বাস্তবতা চিকিৎসাশিক্ষাকে গভীরভাবে প্রভাবিত করে। সরকারি সাইটে শিক্ষক পোর্টাল, শিক্ষার্থী পোর্টাল, ভর্তি, ফর্ম ফিলাপ এবং debating, science, computer, blood donation ও cultural club–এর উপস্থিতি দেখায় যে একাডেমিক ও সহশিক্ষা—দুই ক্ষেত্রেই এটি সংগঠিত। ঢাকার ভেতরে সরকারি মেডিকেল কলেজ হিসেবে এর অবস্থান শিক্ষার্থীদের জন্য বড় সুবিধা, কারণ রাজধানীকেন্দ্রিক medical ecosystem, reference hospital network এবং পরবর্তী career opportunity–এর সঙ্গে সংযোগ তুলনামূলকভাবে সহজ হয়। যারা ঢাকার মধ্যে থেকেই সরকারি MBBS program, hospital-based intense clinical exposure এবং growing institutional identity–এর সমন্বয় খুঁজছে, তাদের জন্য Mugda Medical College একটি অত্যন্ত কার্যকর ও কৌশলগত পছন্দ।</t>
  </si>
  <si>
    <t>MuMC</t>
  </si>
  <si>
    <t>Mugda, Dhaka</t>
  </si>
  <si>
    <t>mumc@ac.dghs.gov.bd</t>
  </si>
  <si>
    <t>https://mumc.gov.bd</t>
  </si>
  <si>
    <t>Magura Medical College</t>
  </si>
  <si>
    <t>Magura Medical College মাগুরার একটি সরকারি মেডিকেল কলেজ, যা ২০১৮ সালে প্রতিষ্ঠিত হয় এবং ২০১৯ সালে প্রথম ব্যাচের ক্লাস শুরু করে; নির্ভরযোগ্য উন্মুক্ত তথ্য অনুযায়ী এটি Khulna Medical University-এর সঙ্গে একাডেমিকভাবে যুক্ত। নতুন সরকারি মেডিকেল কলেজ হিসেবে এর যাত্রা সাম্প্রতিক হলেও, এর প্রতিষ্ঠার উদ্দেশ্য ছিল দক্ষিণ-পশ্চিমাঞ্চলের শিক্ষার্থীদের জন্য চিকিৎসাশিক্ষার সুযোগ সম্প্রসারণ এবং জেলা পর্যায়ে স্বাস্থ্যখাতের মানবসম্পদ শক্তিশালী করা। উন্মুক্ত সংকলিত তথ্য থেকে জানা যায় যে শুরুতে এটি Magura Sadar Hospital–ভিত্তিক অস্থায়ী ক্যাম্পাসে ক্লাস শুরু করে এবং ধীরে ধীরে নিজস্ব একাডেমিক কাঠামো গড়ে তোলে। এর শিক্ষকসংস্থান, batch-based growth এবং hostel accommodation–সংক্রান্ত তথ্য থেকেও বোঝা যায় যে এটি operational stage পার হয়ে স্থিতিশীলতার দিকে এগোচ্ছে। একজন শিক্ষার্থীর জন্য Magura Medical College-এর বড় আকর্ষণ হলো—এটি নতুন বলে এখানে প্রাথমিক batch culture, comparatively smaller academic community এবং শিক্ষক-শিক্ষার্থীর ঘনিষ্ঠ সংযোগের সুযোগ বেশি থাকতে পারে। একই সঙ্গে সরকারি medical curriculum, internship pathway এবং university affiliation এটিকে একটি পূর্ণাঙ্গ MBBS route-এ যুক্ত করে। যারা খুলনা বিভাগের কাছাকাছি সরকারি মেডিকেল কলেজে পড়তে চায় এবং emerging institution-এর সঙ্গে নিজেদের চিকিৎসক-পরিচয় গড়তে আগ্রহী, তাদের জন্য Magura Medical College একটি সম্ভাবনাময় ও যথেষ্ট গুরুত্বপূর্ণ বিকল্প।</t>
  </si>
  <si>
    <t>MaMC</t>
  </si>
  <si>
    <t>Magura-7600</t>
  </si>
  <si>
    <t>mamc@ac.dghs.gov.bd</t>
  </si>
  <si>
    <t>https://mamc.gov.bd</t>
  </si>
  <si>
    <t>M.A.G. Osmani Medical College</t>
  </si>
  <si>
    <t>M.A.G. Osmani Medical College সিলেটের অন্যতম ঐতিহ্যবাহী ও প্রভাবশালী সরকারি মেডিকেল কলেজ, যার সঙ্গে যুক্ত হাসপাতালটি পুরো সিলেট বিভাগের জন্য একটি বড় tertiary-care কেন্দ্র হিসেবে কাজ করে। অফিসিয়াল সাইটে এটিকে সিলেটের অন্যতম বৃহৎ ও সুপরিচিত মেডিকেল কলেজ হাসপাতাল বলা হয়েছে, এবং programs page-এ MBBS, BDS, MPhil, MD, MS ও diploma-সহ একাধিক undergraduate ও postgraduate প্রোগ্রামের উপস্থিতি দেখা যায়। এই তথ্য থেকে বোঝা যায় যে প্রতিষ্ঠানটি শুধু basic medical education নয়, বরং higher specialty training, research এবং clinical skill development-এর ক্ষেত্রেও গুরুত্বপূর্ণ। সিলেট শহরের কেন্দ্রিক অবস্থান এবং বৃহৎ রোগীভিত্তির কারণে এখানে clinical exposure খুবই শক্তিশালী, বিশেষত medicine, surgery, pediatrics, obstetrics and gynecology, radiology, pathology ও অন্যান্য specialist discipline-এ। একজন শিক্ষার্থীর জন্য এর বড় শক্তি হলো—এটি একই সঙ্গে পুরোনো, প্রতিষ্ঠিত, এবং tertiary hospital-linked; ফলে পাঠ্যক্রমভিত্তিক শিক্ষা ও বাস্তব রোগী-অভিজ্ঞতার মধ্যে খুব স্বাভাবিক সংযোগ তৈরি হয়। যারা সিলেট অঞ্চলে থেকে বা সিলেটকেন্দ্রিক medical ecosystem-এ যুক্ত হয়ে সরকারি মেডিকেল শিক্ষার শক্তিশালী ভিত্তি গড়তে চায়, তাদের জন্য M.A.G. Osmani Medical College একটি অত্যন্ত মর্যাদাপূর্ণ ও উচ্চ-প্রভাবসম্পন্ন পছন্দ।</t>
  </si>
  <si>
    <t>SOMC</t>
  </si>
  <si>
    <t>Sylhet-3100</t>
  </si>
  <si>
    <t>somc@ac.dghs.gov.bd</t>
  </si>
  <si>
    <t>https://magosmanimedical.com</t>
  </si>
  <si>
    <t>M. Abdur Rahim Medical College</t>
  </si>
  <si>
    <t>M. Abdur Rahim Medical College নামে পরিচিত প্রতিষ্ঠানটির বর্তমান সরকারি নাম এখন Dinajpur Medical College; অফিসিয়াল কলেজ সাইটে এখনও পুরোনো নাম ব্যবহৃত হলেও নির্ভরযোগ্য সাম্প্রতিক সংকলিত তথ্য অনুযায়ী ২০২৪ সালের অক্টোবরে নাম পরিবর্তন করে Dinajpur Medical College করা হয়। দিনাজপুরে অবস্থিত এই সরকারি মেডিকেল কলেজ উত্তরবঙ্গের চিকিৎসাশিক্ষা ও আঞ্চলিক স্বাস্থ্যসেবার ক্ষেত্রে একটি গুরুত্বপূর্ণ কেন্দ্র, এবং এর অফিসিয়াল সাইটে ইতিহাস, বিভাগ, সাংগঠনিক কাঠামো, citizen charter, notice board ও academic administration–এর উপস্থিতি দেখায় যে এটি একটি সুসংগঠিত medical institution। নাম পরিবর্তনের পরও মূল প্রতিষ্ঠানগত শক্তি অপরিবর্তিত আছে: সরকারি MBBS শিক্ষা, হাসপাতাল-সংযুক্ত clinical training, উত্তরাঞ্চলের বড় রোগীভিত্তি এবং ধীরে ধীরে বিস্তৃত একাডেমিক পরিসর। একজন শিক্ষার্থীর জন্য এই কলেজের আকর্ষণ হলো—এটি উত্তরবঙ্গে থেকে সরকারি মেডিকেল কলেজের ডিগ্রি ও public sector clinical exposure পাওয়ার একটি নির্ভরযোগ্য পথ, যেখানে ঐতিহাসিক পরিচয়, প্রশাসনিক কাঠামো এবং আঞ্চলিক গ্রহণযোগ্যতা—সবই বিদ্যমান। তাই আপনি পুরোনো নাম M. Abdur Rahim Medical College হিসেবে জানলেও, বর্তমান প্রেক্ষাপটে এটিকে Dinajpur Medical College হিসেবে বিবেচনা করাই বেশি সঠিক।</t>
  </si>
  <si>
    <t>MARMC</t>
  </si>
  <si>
    <t>Dinajpur-5200</t>
  </si>
  <si>
    <t>marmcd@ac.dghs.gov.bd</t>
  </si>
  <si>
    <t>https://marmcd.gov.bd</t>
  </si>
  <si>
    <t>Kushtia Medical College</t>
  </si>
  <si>
    <t>Kushtia Medical College ২০১১ সালে প্রতিষ্ঠিত একটি সরকারি মেডিকেল কলেজ, যা কুষ্টিয়া অঞ্চলে মানসম্মত চিকিৎসাশিক্ষা ও স্বাস্থ্যসেবার কেন্দ্র হিসেবে দ্রুত পরিচিতি পেয়েছে। এর অফিসিয়াল সাইটে principal’s message-এ স্পষ্টভাবে বলা হয়েছে যে প্রতিষ্ঠানটি quality medical education, compassionate patient care এবং ethical professional development-এ প্রতিশ্রুতিবদ্ধ, আর হাসপাতালভিত্তিক সরকারি পোর্টাল দেখায় যে কলেজটির সঙ্গে কার্যকর clinical service structure বিদ্যমান। নতুন প্রজন্মের সরকারি মেডিকেল কলেজগুলোর মধ্যে Kushtia Medical College-এর বিশেষত্ব হলো—এটি relatively recent হলেও নিজেকে দ্রুত একটি structured teaching environment-এ রূপ দিয়েছে। এখানে MBBS program-কেন্দ্রিক শিক্ষা, শিক্ষক-নির্ভর academic guidance, hospital-linked practical training এবং developing institutional culture—সবকিছু একসঙ্গে কাজ করে। কুষ্টিয়া অঞ্চলের সামাজিক-অর্থনৈতিক বাস্তবতা, জেলা-ভিত্তিক রোগীপ্রবাহ এবং দক্ষিণ-পশ্চিমাঞ্চলের বিস্তৃত স্বাস্থ্যচাহিদা এই কলেজের clinical relevance বাড়িয়ে দেয়। যারা কুষ্টিয়া বা আশপাশে থেকে সরকারি মেডিকেল কলেজে পড়ে steady academic growth, regional service orientation এবং growing clinical environment-এর সুবিধা নিতে চায়, তাদের জন্য Kushtia Medical College একটি শক্তিশালী ও সম্ভাবনাময় পছন্দ।</t>
  </si>
  <si>
    <t>KuMC</t>
  </si>
  <si>
    <t>Kushtia-7000</t>
  </si>
  <si>
    <t>kumc@ac.dghs.gov.bd</t>
  </si>
  <si>
    <t>https://kumc.gov.bd</t>
  </si>
  <si>
    <t>Khulna Medical University</t>
  </si>
  <si>
    <t>Khulna Medical University খুলনা বিভাগের চিকিৎসা, নার্সিং ও allied health education-এর একাডেমিক তত্ত্বাবধান, মানোন্নয়ন ও সমন্বয়ের জন্য গঠিত একটি সরকারি মেডিকেল বিশ্ববিদ্যালয়। অফিসিয়াল সাইটে একে undergraduate ও postgraduate medicine, nursing এবং allied health sciences-কেন্দ্রিক premier medical university হিসেবে উপস্থাপন করা হয়েছে। তবে এখানে একটি গুরুত্বপূর্ণ সাম্প্রতিক পরিবর্তন আছে: ২০২১ সালে প্রতিষ্ঠিত এই প্রতিষ্ঠানটি একসময় Sheikh Hasina Medical University, Khulna নামে পরিচিত ছিল, কিন্তু ২০২৫ সালে নাম পরিবর্তনের পর বর্তমান Khulna Medical University নামটি কার্যকর হয়। বিশ্ববিদ্যালয়টি নিজে কেবল একটি single-college campus নয়; বরং খুলনা বিভাগের বিভিন্ন medical, nursing ও health প্রতিষ্ঠানকে তদারকি ও সমন্বয়ের বৃহত্তর কাঠামোর অংশ। এই ধরনের বিশ্ববিদ্যালয়ের মূল শক্তি traditional undergraduate campus life নয়, বরং regulatory-academic leadership—অর্থাৎ curriculum governance, exam administration, affiliation, standard-setting, postgraduate growth এবং medical education policy। খুলনা বিভাগের জন্য এটি গুরুত্বপূর্ণ কারণ এর মাধ্যমে regional medical education-কে একটি একীভূত কাঠামোর অধীনে আনা হয়েছে। যারা medical education administration, postgraduate pathway, institutional affiliation এবং health sciences governance-এর বড় চিত্র বোঝে, তাদের কাছে Khulna Medical University একটি অত্যন্ত কৌশলগত প্রতিষ্ঠান।</t>
  </si>
  <si>
    <t>KMU</t>
  </si>
  <si>
    <t>Khulna, Bangladesh</t>
  </si>
  <si>
    <t>registrar@kmu.ac.bd</t>
  </si>
  <si>
    <t>https://kmu.ac.bd</t>
  </si>
  <si>
    <t>Khulna Medical College</t>
  </si>
  <si>
    <t>Khulna Medical College খুলনা বিভাগের একটি গুরুত্বপূর্ণ সরকারি মেডিকেল কলেজ, যার সরকারি পোর্টালে বিভাগ, ছাত্রবিষয়ক কার্যক্রম, জার্নাল, লাইব্রেরি, ল্যাবরেটরি সার্ভিস, ক্রীড়া ও সাংস্কৃতিক কার্যক্রম, research/innovation এবং admission notice-এর মতো বিস্তৃত একাডেমিক উপস্থিতি দেখা যায়। এই তথ্যগুলো দেখায় যে এটি শুধু MBBS teaching college নয়; বরং একটি সক্রিয় campus-based medical institution। খুলনা শহরে অবস্থিত হওয়ায় শিক্ষার্থীরা একদিকে দক্ষিণ-পশ্চিমাঞ্চলের বড় নগর স্বাস্থ্যব্যবস্থার সঙ্গে যুক্ত থাকে, অন্যদিকে সরকারি হাসপাতালভিত্তিক clinical education পায়। ল্যাব সার্ভিস হিসেবে histopathology, hematology, microbiology ও biochemistry-র উল্লেখ, আবার journal, prospectus, sports and cultural life-এর উপস্থিতি—সব মিলিয়ে Khulna Medical College একটি balanced academic environment গড়ে তুলেছে। একজন শিক্ষার্থীর জন্য এর বড় শক্তি হলো—এখানে সরকারি মেডিকেল শিক্ষার প্রয়োজনীয় clinical rigor-এর পাশাপাশি structured campus support, library use, laboratory exposure এবং co-curricular identity রয়েছে। যারা খুলনা অঞ্চলে থেকে বা ওই অঞ্চলের চিকিৎসাব্যবস্থার অংশ হয়ে সরকারি MBBS শিক্ষা নিতে চায়, তাদের জন্য Khulna Medical College একটি অত্যন্ত কার্যকর, স্বীকৃত এবং স্থিতিশীল পছন্দ।</t>
  </si>
  <si>
    <t>KMC</t>
  </si>
  <si>
    <t>Boyra, Khulna-9100</t>
  </si>
  <si>
    <t>khulnamedicalcollege@yahoo.com</t>
  </si>
  <si>
    <t>https://khulnamedicalcollege.edu.bd</t>
  </si>
  <si>
    <t>Jashore Medical College</t>
  </si>
  <si>
    <t>Jashore Medical College ২০১০ সালে প্রতিষ্ঠিত একটি সরকারি মেডিকেল কলেজ, যা যশোরে খুলনা বিভাগের চিকিৎসাশিক্ষার অন্যতম গুরুত্বপূর্ণ নতুন প্রজন্মের প্রতিষ্ঠান হিসেবে প্রতিষ্ঠা পেয়েছে। অফিসিয়াল about page-এ স্পষ্টভাবে বলা হয়েছে যে এটি একটি government medical college, পাঁচ বছর মেয়াদি MBBS program পরিচালনা করে, graduation-এর পর one-year internship বাধ্যতামূলক, এবং degree বাংলাদেশ মেডিকেল অ্যান্ড ডেন্টাল কাউন্সিল দ্বারা স্বীকৃত। বর্তমান অফিসিয়াল তথ্য অনুযায়ী এটি Khulna Medical University-সংশ্লিষ্ট একাডেমিক কাঠামোর অংশ। এই কলেজের গুরুত্ব বিশেষ করে এইখানে যে এটি দক্ষিণ-পশ্চিমাঞ্চলের শিক্ষার্থীদের জন্য সরকারি চিকিৎসাশিক্ষার সুযোগ বিস্তৃত করেছে। যশোরের আঞ্চলিক স্বাস্থ্যচাহিদা, জেলা-ভিত্তিক রোগীপ্রবাহ এবং সরকারি হাসপাতালভিত্তিক প্রশিক্ষণ এর clinical value বাড়ায়। নতুন প্রজন্মের সরকারি মেডিকেল কলেজ হলেও এর একাডেমিক অবস্থান এখন যথেষ্ট স্থিতিশীল, এবং এর MBBS curriculum, internship pathway এবং BMDC recognition এটিকে পূর্ণাঙ্গ professional route-এ যুক্ত করে। যারা যশোর বা আশপাশের অঞ্চলে থেকে সরকারি মেডিকেল কলেজে পড়তে চায় এবং growing but already recognized medical institution-এর সুবিধা পেতে চায়, তাদের জন্য Jashore Medical College একটি অত্যন্ত ব্যবহারিক ও সম্মানজনক নির্বাচন।</t>
  </si>
  <si>
    <t>JMC</t>
  </si>
  <si>
    <t>Jashore-7400</t>
  </si>
  <si>
    <t>jmc@ac.dghs.gov.bd</t>
  </si>
  <si>
    <t>https://jmc.gov.bd</t>
  </si>
  <si>
    <t>Faridpur Medical College</t>
  </si>
  <si>
    <t>Faridpur Medical College পশ্চিম-মধ্য বাংলাদেশের একটি গুরুত্বপূর্ণ সরকারি মেডিকেল কলেজ, যার সরকারি কলেজ পোর্টাল নিয়মিত principal, vice-principal, notice ও institutional information আপডেট করে এবং যা দীর্ঘদিন ধরে সরকারি চিকিৎসাশিক্ষার একটি নির্ভরযোগ্য নাম। প্রতিষ্ঠাটি ১৯৯২ সালে গঠিত হয়েছিল বলে নির্ভরযোগ্য সংকলিত তথ্যসূত্রে উল্লেখ আছে, এবং এটি University of Dhaka-এর constituent medical college হিসেবে পরিচিত। সাম্প্রতিক বছরগুলোতে নাম পরিবর্তনের কিছু প্রশাসনিক পর্যায় থাকলেও বর্তমান পরিচিত নাম Faridpur Medical College। এই কলেজের মূল শক্তি হলো—এটি নতুন প্রজন্মের পরীক্ষামূলক প্রতিষ্ঠান নয়, আবার অতিপুরোনো ঢাকার কেন্দ্রিক প্রতিষ্ঠানও নয়; বরং mature public medical college হিসেবে academic continuity, hospital-linked clinical training এবং regional healthcare relevance—তিনটিই ধরে রেখেছে। ফরিদপুর অঞ্চলের রোগীপ্রবাহ এবং সরকারি স্বাস্থ্যব্যবস্থার বাস্তবতার মধ্যে দাঁড়িয়ে এখানে চিকিৎসা শিক্ষা গ্রহণ করলে community-oriented clinical understanding তৈরি হয়। যারা ঢাকা বিভাগের বাইরে থেকেও শক্তিশালী সরকারি মেডিকেল শিক্ষার ভিত্তি, clinical exposure এবং একটি established institutional identity চায়, তাদের জন্য Faridpur Medical College অত্যন্ত ভালো একটি পছন্দ।</t>
  </si>
  <si>
    <t>BSMMC</t>
  </si>
  <si>
    <t>Faridpur-7800</t>
  </si>
  <si>
    <t>bsmmcf@ac.dghs.gov.bd</t>
  </si>
  <si>
    <t>https://bsmmcf.gov.bd</t>
  </si>
  <si>
    <t>Dhaka Medical College</t>
  </si>
  <si>
    <t>Dhaka Medical College বাংলাদেশের চিকিৎসাশিক্ষার সবচেয়ে ঐতিহ্যবাহী, প্রভাবশালী এবং প্রতীকী সরকারি মেডিকেল কলেজগুলোর একটি। অফিসিয়াল সাইটের vice-principal message-এ এটিকে দেশের অন্যতম premier medical institution হিসেবে বর্ণনা করা হয়েছে এবং ৭০ বছরের বেশি পুরোনো প্রতিষ্ঠান হিসেবে undergrad ও postgrad—উভয় স্তরেই quality medical education প্রদানের কথা উল্লেখ করা হয়েছে। নির্ভরযোগ্য উন্মুক্ত তথ্যসূত্র অনুযায়ী Dhaka Medical College Hospital ১৯৪৬ সালে প্রতিষ্ঠিত হয়, যা কলেজটির ঐতিহাসিক গভীরতাকে আরও স্পষ্ট করে। শাহবাগকেন্দ্রিক অবস্থানের কারণে এর clinical environment বাংলাদেশের মধ্যে সবচেয়ে শক্তিশালী ও বৈচিত্র্যময়—এখানে tertiary care, emergency medicine, trauma, surgery, internal medicine, subspecialty referral এবং জাতীয় পর্যায়ের জটিল রোগীর সমাবেশ ঘটে। ফলে শিক্ষার্থীরা রোগীসংখ্যা, রোগের বৈচিত্র্য এবং public hospital intensity—সব দিক থেকেই অসাধারণ training exposure পায়। একই সঙ্গে এই কলেজের alumni network, postgraduate opportunity, গবেষণা ও জাতীয় মর্যাদা এটিকে চিকিৎসাশিক্ষার অভিজাত প্রতিষ্ঠানের পর্যায়ে নিয়ে গেছে। যারা বাংলাদেশের চিকিৎসা-পেশার মূলধারায় প্রবেশ করতে চায় এবং strongest clinical foundation, institutional prestige ও historical identity–এর সমন্বয় খুঁজছে, তাদের জন্য Dhaka Medical College নিঃসন্দেহে শীর্ষ পছন্দগুলোর একটি।</t>
  </si>
  <si>
    <t>DMC</t>
  </si>
  <si>
    <t>Bakshibazar, Dhaka</t>
  </si>
  <si>
    <t>principal@dmc.gov.bd</t>
  </si>
  <si>
    <t>https://dmc.gov.bd</t>
  </si>
  <si>
    <t>Cumilla Medical College</t>
  </si>
  <si>
    <t>Cumilla Medical College কুমিল্লার একটি সরকারি মেডিকেল কলেজ, যার সরকারি কলেজ পোর্টাল ও কলেজ হাসপাতালের অফিসিয়াল সাইট—দুটিই সক্রিয় এবং যেগুলো একসঙ্গে এর ইতিহাস, প্রশাসন, একাডেমিক কাঠামো ও হাসপাতালভিত্তিক clinical support সম্পর্কে স্পষ্ট ধারণা দেয়। হাসপাতালের সাইটে বলা হয়েছে যে বৃহত্তর কুমিল্লা ও নোয়াখালী অঞ্চলের আধুনিক চিকিৎসাসেবা নিশ্চিত করা এবং গ্র্যাজুয়েট ডাক্তার তৈরির লক্ষ্যে এ প্রতিষ্ঠানিক প্রকল্প বাস্তবায়িত হয়; এছাড়া ১৯৮১–৮২ শিক্ষাবর্ষে MBBS চালুর প্রাথমিক ইতিহাস ও ১৯৯০-এর দশকের হাসপাতাল সম্প্রসারণের বিবরণও সেখানে আছে। সরকারি কলেজ পোর্টাল এটিকে Ministry of Health and Family Welfare দ্বারা পরিচালিত Government Medical College হিসেবে উপস্থাপন করে। এই তথ্যগুলো দেখায় যে Cumilla Medical College শুধুই একটি teaching unit নয়, বরং historical development-এর মধ্য দিয়ে গড়ে ওঠা hospital-linked public medical institution। এর clinical relevance অনেক বেশি, কারণ কুমিল্লা অঞ্চলের বৃহৎ জনসংখ্যা এবং inter-district patient flow চিকিৎসা-শিক্ষাকে বাস্তবধর্মী করে। যারা সরকারি মেডিকেল কলেজে পড়ে পুরোনো প্রতিষ্ঠানের পরিণত হাসপাতাল-সমর্থন, কুমিল্লা শহরের কেন্দ্রীয় অবস্থান এবং Chittagong-region medical education network-এর সঙ্গে সংযোগ পেতে চায়, তাদের জন্য Cumilla Medical College একটি স্থিতিশীল ও সম্মানজনক সিদ্ধান্ত।</t>
  </si>
  <si>
    <t>CuMC</t>
  </si>
  <si>
    <t>Kuchaitoli, Cumilla</t>
  </si>
  <si>
    <t>cumc@ac.dghs.gov.bd</t>
  </si>
  <si>
    <t>https://cumc.gov.bd</t>
  </si>
  <si>
    <t>Cox's Bazar Medical College</t>
  </si>
  <si>
    <t>Cox’s Bazar Medical College কক্সবাজারে অবস্থিত একটি সরকারি মেডিকেল কলেজ, যা ২০০৮ সালে প্রতিষ্ঠিত হয় এবং বর্তমানে সরকারি পোর্টাল, শিক্ষক-শিক্ষার্থী পোর্টাল, ভর্তি প্রক্রিয়া ও সহশিক্ষা ক্লাবসমূহের সক্রিয় উপস্থিতির মাধ্যমে একটি সুসংগঠিত medical institution হিসেবে দৃশ্যমান। নির্ভরযোগ্য উন্মুক্ত তথ্য অনুযায়ী কলেজটি Chittagong Medical University-সংশ্লিষ্ট একাডেমিক কাঠামোর অংশ এবং এর শিক্ষার্থীরা Cox’s Bazar District Sadar Hospital-ভিত্তিক clinical training পায়। সরকারি সাইটে debating, science, computer, blood donation ও cultural club-এর উল্লেখ থেকে বোঝা যায় যে ছাত্রজীবন এখানে শুধুই পাঠ্যক্রমনির্ভর নয়। কক্সবাজারের ভৌগোলিক ও সামাজিক বাস্তবতা এই কলেজকে আলাদা প্রাসঙ্গিকতা দেয়—একদিকে পর্যটনকেন্দ্রিক নগর স্বাস্থ্যচাহিদা, অন্যদিকে উপকূলীয় ও জনবহুল এলাকার জনস্বাস্থ্য-বাস্তবতা clinical learning-কে সমৃদ্ধ করে। যারা সমুদ্রতীরবর্তী দক্ষিণ-পূর্বাঞ্চলে সরকারি মেডিকেল কলেজে পড়তে চায় এবং hospital-based practical training-এর পাশাপাশি একটি growing campus culture চায়, তাদের জন্য Cox’s Bazar Medical College একটি অত্যন্ত অর্থবহ বিকল্প।</t>
  </si>
  <si>
    <t>CoxMC</t>
  </si>
  <si>
    <t>Cox's Bazar-4700</t>
  </si>
  <si>
    <t>coxmc@ac.dghs.gov.bd</t>
  </si>
  <si>
    <t>https://coxmc.gov.bd</t>
  </si>
  <si>
    <t>Colonel Malek Medical College</t>
  </si>
  <si>
    <t>Colonel Malek Medical College মানিকগঞ্জের একটি সরকারি মেডিকেল কলেজ, যা ২০১৪ সালে Manikganj Medical College হিসেবে যাত্রা শুরু করে এবং ২০১৭ সালে Colonel M. A. Malek–এর নামে বর্তমান নাম ধারণ করে। সরকারি সাইটের welcome page ও administrative body page-এ এই নাম-ইতিহাস স্পষ্টভাবে দেওয়া আছে। একই সূত্রে এটিকে government sector medical college হিসেবে বর্ণনা করা হয়েছে, যেখানে principal হলো executive head এবং Ministry of Health and Family Welfare-এর অধীনে একাডেমিক ও প্রশাসনিক কাঠামো পরিচালিত হয়। কলেজটির অবস্থান মানিকগঞ্জ শহরের উত্তরাংশে, এবং সরকারি তথ্য অনুযায়ী এটি MBBS program পরিচালনা করে। নতুন প্রজন্মের সরকারি মেডিকেল কলেজগুলোর মধ্যে এর বিশেষ শক্তি হলো—এটি ঢাকার কাছাকাছি থেকেও district-based academic identity বজায় রেখেছে, ফলে রাজধানীর নিকটতা ও comparatively smaller academic environment—দুই সুবিধাই কিছুটা পাওয়া যায়। যারা growing institution-এ সরকারি MBBS শিক্ষা, hospital-linked clinical exposure এবং comparatively intimate batch culture খোঁজে, তাদের জন্য Colonel Malek Medical College একটি শক্তিশালী ও বাস্তবসম্মত বিকল্প।</t>
  </si>
  <si>
    <t>CMMC</t>
  </si>
  <si>
    <t>Manikganj-1800</t>
  </si>
  <si>
    <t>cmmc@ac.dghs.gov.bd</t>
  </si>
  <si>
    <t>https://cmmc.gov.bd</t>
  </si>
  <si>
    <t>Chittagong Medical University</t>
  </si>
  <si>
    <t>Chittagong Medical University চট্টগ্রাম বিভাগের চিকিৎসা, নার্সিং, ডেন্টাল ও allied health education-এর মানোন্নয়ন ও একাডেমিক সমন্বয়ের জন্য গঠিত একটি সরকারি মেডিকেল বিশ্ববিদ্যালয়। অফিসিয়াল সাইটে একে medical education, research and healthcare services-এ নিবেদিত একটি prestigious institution বলা হয়েছে, এবং সেখানে ৬টি faculty, research grant, academic council meeting, syndicate meeting এবং affiliated institutes–সংশ্লিষ্ট কার্যক্রমের উল্লেখ রয়েছে। এটি একটি supervisory medical university—অর্থাৎ এর কাজ শুধু নিজস্ব teaching program নয়, বরং অঞ্চলের বিভিন্ন medical and nursing institution-এর একাডেমিক কাঠামো, পরীক্ষা, সংযুক্তি ও মাননিয়ন্ত্রণের বড় প্ল্যাটফর্ম হওয়া। চট্টগ্রাম বিভাগের মতো বৃহৎ ও কৌশলগত অঞ্চলে এমন একটি বিশ্ববিদ্যালয়ের উপস্থিতি medical governance-এর জন্য অত্যন্ত গুরুত্বপূর্ণ। একজন শিক্ষার্থীর কাছে Chittagong Medical University-এর তাৎপর্য সবচেয়ে বেশি অনুভূত হয় যখন সে এর অধিভুক্ত কোনো কলেজে পড়ে বা postgraduate medical structure-এর সঙ্গে যুক্ত হয়। যারা medical education system-এর বৃহত্তর প্রশাসনিক, গবেষণা ও নীতিগত পরিসরকে গুরুত্ব দেয়, তাদের কাছে Chittagong Medical University দক্ষিণ-পূর্ব বাংলাদেশের চিকিৎসা-একাডেমিক অবকাঠামোর একটি মূল প্রতিষ্ঠান।</t>
  </si>
  <si>
    <t>CMU</t>
  </si>
  <si>
    <t>Chattogram, Bangladesh</t>
  </si>
  <si>
    <t>registrar@cmu.edu.bd</t>
  </si>
  <si>
    <t>https://cmu.edu.bd</t>
  </si>
  <si>
    <t>Chattogram Medical College</t>
  </si>
  <si>
    <t>Chattogram Medical College নামে আপনি যে প্রতিষ্ঠানটির কথা বলেছেন, তার অফিসিয়াল ইংরেজি নাম এখনও Chittagong Medical College এবং সরকারি সাইটে সেটিই ব্যবহৃত হয়েছে। এটি বাংলাদেশের অন্যতম ঐতিহ্যবাহী সরকারি মেডিকেল কলেজ, এবং অফিসিয়াল সাইটে এর বিভাগসমূহকে top-notch education, advanced healthcare এবং dedicated patient care–এর সমন্বয়ে ভবিষ্যৎ চিকিৎসাবিদ্যা গঠনের কেন্দ্র হিসেবে উপস্থাপন করা হয়েছে। চট্টগ্রামে অবস্থিত এই কলেজটি দীর্ঘদিন ধরে দক্ষিণ-পূর্বাঞ্চলের প্রধান clinical teaching center হিসেবে কাজ করছে। এর সঙ্গে যুক্ত বড় সরকারি হাসপাতাল শিক্ষার্থীদের জন্য surgery, medicine, pediatrics, obstetrics and gynecology, emergency ও subspecialty care-এর উচ্চমাত্রার exposure তৈরি করে। প্রতিষ্ঠিত ও পুরোনো সরকারি মেডিকেল কলেজ হিসেবে এর alumni network, শিক্ষকসমাজ, ক্লিনিক্যাল ঐতিহ্য এবং পেশাগত গ্রহণযোগ্যতা অত্যন্ত শক্তিশালী। যারা চট্টগ্রাম অঞ্চলে থেকে বা ওই অঞ্চলের healthcare ecosystem-এর সঙ্গে যুক্ত হয়ে সরকারি মেডিকেল শিক্ষার গভীর ও মর্যাদাপূর্ণ অভিজ্ঞতা পেতে চায়, তাদের জন্য Chattogram Medical College বা অফিসিয়াল Chittagong Medical College একটি অত্যন্ত শক্তিশালী নির্বাচন।</t>
  </si>
  <si>
    <t>CMC</t>
  </si>
  <si>
    <t>K.B. Fazlul Kader Road</t>
  </si>
  <si>
    <t>cmc@ac.dghs.gov.bd</t>
  </si>
  <si>
    <t>https://cmc.gov.bd</t>
  </si>
  <si>
    <t>Chandpur Medical College</t>
  </si>
  <si>
    <t>Chandpur Medical College চাঁদপুরের একটি সরকারি মেডিকেল কলেজ, যার সরকারি পোর্টাল ২০২৬ সাল পর্যন্ত নিয়মিত আপডেটেড এবং যেখানে MBBS সম্পর্কে তথ্য, curriculum, admission process, বিভাগসমূহ, publication, e-library, committee, exam-related notice এবং administrative structure-এর বিশদ উপস্থিতি দেখা যায়। নির্ভরযোগ্য উন্মুক্ত তথ্য অনুযায়ী এটি ২০১৮ সালে প্রতিষ্ঠিত হয় এবং ২০১৯ সালে প্রথম ব্যাচের একাডেমিক কার্যক্রম শুরু করে; একই সঙ্গে এটি Chittagong Medical University-সংশ্লিষ্ট একাডেমিক কাঠামোর অংশ। নতুন হলেও এর official site দেখায় যে প্রতিষ্ঠানটি দ্রুতই একটি কাঠামোবদ্ধ medical college-এ পরিণত হয়েছে। এমবিবিএস কারিকুলাম, medical education unit committee, exam process এবং e-library-এর মতো উপাদান শিক্ষার্থীদের জন্য একটি planned academic environment তৈরি করে। একজন শিক্ষার্থীর জন্য এই কলেজের বিশেষ সুবিধা হলো—এটি নতুন generation-এর public medical college হওয়ায় comparatively focused institutional attention পাওয়া সম্ভব, আবার সরকারি কাঠামোর কারণে degree pathway ও clinical training-ও নিশ্চিত। যারা চাঁদপুর বা আশপাশে থেকে সরকারি MBBS program নিতে চায় এবং একটি organized but relatively young academic institution-এর অংশ হতে আগ্রহী, তাদের জন্য Chandpur Medical College একটি সম্ভাবনাময় পছন্দ।</t>
  </si>
  <si>
    <t>ChMC</t>
  </si>
  <si>
    <t>Chandpur-3600</t>
  </si>
  <si>
    <t>chmc@ac.dghs.gov.bd</t>
  </si>
  <si>
    <t>https://chmc.gov.bd</t>
  </si>
  <si>
    <t>Bangamata Sheikh Fazilatunnesa Mujib Medical University</t>
  </si>
  <si>
    <t>Bangamata Sheikh Fazilatunnesa Mujib Medical University নামে যে প্রতিষ্ঠানটির কথা আপনি দিয়েছেন, তার বর্তমান সরকারি নাম এখন Sylhet Medical University। অফিসিয়াল Sylhet Medical University সাইট এবং সাম্প্রতিক নির্ভরযোগ্য তথ্যসূত্রে স্পষ্টভাবে দেখা যায় যে ২০২৫ সালের সংশোধনের পর Bangamata Sheikh Fazilatunnesa Mujib Medical University, Sylhet নাম পরিবর্তন করে Sylhet Medical University করা হয়েছে। এই বিশ্ববিদ্যালয়টি সিলেট বিভাগের medical, dental, nursing ও allied health institution-গুলোর academic supervision, postgraduate training, affiliation এবং মাননিয়ন্ত্রণের জন্য গুরুত্বপূর্ণ একটি সরকারি medical university। অফিসিয়াল সাইটে একে premier postgraduate medical institution বলা হয়েছে এবং innovation, education, research, wisdom, excellence ও service–এর ওপর জোর দেওয়া হয়েছে। এর সঙ্গে সিলেট বিভাগের সরকারি ও বেসরকারি একাধিক মেডিকেল কলেজ ও ডেন্টাল/নার্সিং প্রতিষ্ঠান সংযুক্ত। তাই আপনি পুরোনো নামে এটি চিনলেও, বর্তমান বাস্তবে এটি Sylhet Medical University হিসেবে কার্যকর। একজন শিক্ষার্থীর জন্য এ বিশ্ববিদ্যালয়ের গুরুত্ব campus life-এর চেয়ে বেশি academic governance, postgraduate opportunity, affiliation framework এবং regional medical education ecosystem-এ। সিলেট অঞ্চলের চিকিৎসা-একাডেমিক পরিসর বুঝতে গেলে এই বিশ্ববিদ্যালয় একটি কেন্দ্রীয় নাম।</t>
  </si>
  <si>
    <t>BSFMMU</t>
  </si>
  <si>
    <t>Chowhatta, Sylhet-3100</t>
  </si>
  <si>
    <t>info@bsfmmu.edu.bd</t>
  </si>
  <si>
    <t>https://bsfmmu.edu.bd</t>
  </si>
  <si>
    <t>https://bsfmmu.edu.bd/admission</t>
  </si>
  <si>
    <t>Bangabandhu Sheikh Mujib Medical University</t>
  </si>
  <si>
    <t>Bangabandhu Sheikh Mujib Medical University নামে যে প্রতিষ্ঠানটি আপনি লিখেছেন, তার বর্তমান সরকারি নাম এখন Bangladesh Medical University বা BMU; অফিসিয়াল সাইট ও সাম্প্রতিক নির্ভরযোগ্য সূত্র অনুযায়ী এটি ১৯৬৫ সালে Institute of Postgraduate Medicine and Research হিসেবে শুরু হয়ে ১৯৯৮ সালে Bangabandhu Sheikh Mujib Medical University নামে পরিচিত হয় এবং ২০২৫ সালে নতুন নামে রূপান্তরিত হয়। শাহবাগে অবস্থিত এই বিশ্ববিদ্যালয় বাংলাদেশের শীর্ষ postgraduate medical university হিসেবে চিকিৎসা শিক্ষা, উচ্চতর প্রশিক্ষণ, গবেষণা এবং বিশেষায়িত চিকিৎসাসেবার এক কেন্দ্রীয় প্ল্যাটফর্ম। অফিসিয়াল সাইটে একে premier postgraduate medical institution বলা হয়েছে, এবং এখানে Medicine, Surgery, Basic Science and Para-Clinical Science, Dentistry, Paediatrics, Medical Technology, Nursing এবং Preventive &amp; Social Medicine–সহ একাধিক faculty-র অধীনে MD, MS, MPhil, MPH, diploma, nursing ও PhD পর্যায়ের একাডেমিক কাঠামো চালু আছে। হাসপাতাল, সুপার-স্পেশালাইজড সেবা, গবেষণাগার, উচ্চতর clinical exposure এবং জাতীয় পর্যায়ের বিশেষজ্ঞ তৈরির কারণে প্রতিষ্ঠানটির মর্যাদা আলাদা। একজন শিক্ষার্থীর জন্য এই বিশ্ববিদ্যালয়ের সবচেয়ে বড় আকর্ষণ undergraduate campus life নয়, বরং advanced medical training, specialist development, research opportunity এবং nationwide referral hospital environment-এর অংশ হওয়া। আপনি পুরোনো নাম ব্যবহার করলেও বর্তমান বাস্তবে এটি Bangladesh Medical University হিসেবে বেশি সঠিক।</t>
  </si>
  <si>
    <t>BSMMU</t>
  </si>
  <si>
    <t>Shahbagh, Dhaka-1000</t>
  </si>
  <si>
    <t>info@bsmmu.edu.bd</t>
  </si>
  <si>
    <t>https://bsmmu.edu.bd</t>
  </si>
  <si>
    <t>https://admission.bsmmu.edu.bd</t>
  </si>
  <si>
    <t>Abdul Malek Ukil Medical College</t>
  </si>
  <si>
    <t>Abdul Malek Ukil Medical College নামে পরিচিত প্রতিষ্ঠানটির বর্তমান সরকারি নাম এখন Noakhali Medical College, এবং অফিসিয়াল সাইটে স্পষ্টভাবে “formerly known as Abdul Malek Ukil Medical College” বলা হয়েছে। নোয়াখালীতে অবস্থিত এই সরকারি মেডিকেল কলেজ MBBS শিক্ষার পাশাপাশি হাসপাতালভিত্তিক clinical training, বিভাগীয় শিক্ষা এবং সরকারি চিকিৎসা-একাডেমিক কাঠামোর অধীনে পেশাগত ডাক্তার তৈরি করে। অফিসিয়াল তথ্য অনুযায়ী এখানে পাঁচ বছর মেয়াদি MBBS degree চালু আছে, graduation-এর পর এক বছর internship বাধ্যতামূলক, এবং degree বাংলাদেশ মেডিকেল অ্যান্ড ডেন্টাল কাউন্সিল স্বীকৃত। faculty of medicine-সংক্রান্ত পেজে medicine, cardiology, pediatrics প্রভৃতি বিভাগীয় একাডেমিক কার্যক্রমেরও উল্লেখ আছে, যা দেখায় যে কলেজটি কেবল নামমাত্র প্রতিষ্ঠান নয়, বরং structured medical teaching environment বজায় রাখছে। নোয়াখালীর মতো অঞ্চলে সরকারি মেডিকেল কলেজ হিসেবে এর গুরুত্ব হলো স্থানীয় ও পার্শ্ববর্তী জেলার শিক্ষার্থীদের জন্য সরকারি MBBS শিক্ষার সুযোগ তৈরি করা, আবার আঞ্চলিক হাসপাতালভিত্তিক রোগী-অভিজ্ঞতাও নিশ্চিত করা। ভর্তি পরিকল্পনায় পুরোনো নামটি পরিচিত হলেও, বর্তমান প্রশাসনিক ও একাডেমিক বাস্তবতায় Noakhali Medical College নামটিই ব্যবহার করা বেশি উপযুক্ত।</t>
  </si>
  <si>
    <t>AMUMC</t>
  </si>
  <si>
    <t>Noakhali-3800</t>
  </si>
  <si>
    <t>amumc@ac.dghs.gov.bd</t>
  </si>
  <si>
    <t>https://amumc.gov.bd</t>
  </si>
  <si>
    <t>6.AGRI Cluster</t>
  </si>
  <si>
    <t>Sylhet Agricultural University</t>
  </si>
  <si>
    <t>Sylhet Agricultural University বা SAU সিলেটের তিলাগড় এলাকায় অবস্থিত বাংলাদেশের একটি গুরুত্বপূর্ণ পাবলিক কৃষি বিশ্ববিদ্যালয়, যা ২০০৬ সালে আনুষ্ঠানিকভাবে যাত্রা শুরু করে এবং কৃষি, পশুচিকিৎসা, মৎস্য, কৃষি অর্থনীতি, কৃষি প্রকৌশল ও বায়োটেকনোলজি-ভিত্তিক উচ্চশিক্ষা ও গবেষণার জন্য পরিচিত। UGC-এর তথ্য ও অফিসিয়াল সাইট অনুযায়ী এটি ২০০৬ সালে প্রতিষ্ঠিত, আর faculty structure-এ Agricultural Economics and Business Studies, Agricultural Engineering and Technology, Biotechnology and Genetic Engineering, Veterinary/Animal-related streams এবং Postgraduate Studies–সহ একাধিক অনুষদ রয়েছে। এর বিশেষত্ব হলো—এটি উত্তর-পূর্বাঞ্চলের কৃষি ও প্রাণিসম্পদ বাস্তবতার সঙ্গে জ্ঞানচর্চাকে যুক্ত করেছে। সিলেট অঞ্চলের চা, কৃষি, জলাভূমি, পশুপালন ও জীববৈচিত্র্য-সংক্রান্ত গবেষণার জন্য এ বিশ্ববিদ্যালয়ের অবস্থানগত গুরুত্ব রয়েছে। এখানে undergraduate, master’s এবং PhD program চালু থাকার ফলে শিক্ষার্থীরা কেবল প্রাথমিক ডিগ্রি নয়, উচ্চতর গবেষণামুখী academic pathway-ও পায়। একজন শিক্ষার্থীর জন্য SAU-এর আকর্ষণ হলো—এটি কৃষি ও life science-কেন্দ্রিক বিশেষায়িত বিশ্ববিদ্যালয়, যেখানে কৃষি উন্নয়ন, food system, animal health, agribusiness এবং applied research–এর সমন্বয় দেখা যায়। যারা কৃষি ও সংশ্লিষ্ট বিজ্ঞানে public university education নিতে চায়, তাদের জন্য Sylhet Agricultural University একটি সুসংগঠিত ও ভবিষ্যতমুখী পছন্দ।</t>
  </si>
  <si>
    <t>SyAU</t>
  </si>
  <si>
    <t>registrar@sau.ac.bd</t>
  </si>
  <si>
    <t>https://www.sau.ac.bd</t>
  </si>
  <si>
    <t>https://acas.edu.bd</t>
  </si>
  <si>
    <t>Sher-e-Bangla Agricultural University</t>
  </si>
  <si>
    <t>Sher-e-Bangla Agricultural University ঢাকার শেরেবাংলা নগরে অবস্থিত বাংলাদেশের অন্যতম গুরুত্বপূর্ণ কৃষি বিশ্ববিদ্যালয়, যা রাজধানীর মাঝখানে অবস্থান করেও একটি বিশেষায়িত agricultural higher education hub হিসেবে গড়ে উঠেছে। অফিসিয়াল সাইটে দেখা যায় যে এখানে ৪টি faculty, ৩৫টি department, শতাধিক শিক্ষক এবং হাজার হাজার শিক্ষার্থী নিয়ে একটি পূর্ণাঙ্গ কৃষি-একাডেমিক পরিবেশ তৈরি হয়েছে। SAU-এর বিশেষ শক্তি হলো এর অবস্থান—ঢাকায় থাকার কারণে policy, research network, ministry linkage, collaboration এবং national visibility তুলনামূলকভাবে বেশি। অফিসিয়াল তথ্য অনুযায়ী এটি collaborative research, laboratory development, outreach activity এবং postgraduate studies-এর ওপর জোর দেয়। কৃষি, পশুপালন, মৃত্তিকা, উদ্ভিদরোগ, কৃষিবিজ্ঞান, agribusiness ও agro-technology–সংশ্লিষ্ট নানা বিষয় এখানে শিক্ষা ও গবেষণার আওতায় রয়েছে। এর ক্যাম্পাস comparatively compact হলেও একাডেমিকভাবে অত্যন্ত focused, এবং ঢাকাকেন্দ্রিক হওয়ায় শিক্ষার্থীরা seminar, research communication, job linkage ও national agricultural policy discourse-এর কাছাকাছি থাকতে পারে। যারা রাজধানীতে থেকেই public agricultural university education নিতে চায় এবং একই সঙ্গে কৃষি গবেষণা, postgraduate pathway ও প্রশাসনিক সংযোগ থেকে সুবিধা পেতে চায়, তাদের জন্য Sher-e-Bangla Agricultural University অত্যন্ত আকর্ষণীয় ও কৌশলগত পছন্দ।</t>
  </si>
  <si>
    <t>ShAU</t>
  </si>
  <si>
    <t>Sher-e-Bangla Nagar, Dhaka-1207</t>
  </si>
  <si>
    <t>registrar@sau.edu.bd</t>
  </si>
  <si>
    <t>https://www.sau.edu.bd</t>
  </si>
  <si>
    <t>AGRI Cluster</t>
  </si>
  <si>
    <t>Kurigram Agricultural University</t>
  </si>
  <si>
    <t>Kurigram Agricultural University বা KuriAU কুড়িগ্রামে প্রতিষ্ঠিত একটি নতুন পাবলিক কৃষি বিশ্ববিদ্যালয়, যা ২০২১ সালে প্রতিষ্ঠিত হয় এবং উত্তরাঞ্চলে কৃষিশিক্ষা, প্রযুক্তি উদ্ভাবন ও গ্রামীণ উন্নয়নকে নতুন গতি দেওয়ার লক্ষ্য নিয়ে কাজ করছে। অফিসিয়াল সাইটে একে “Empowering Northern Bangladesh through advanced agricultural research, technology innovation, and quality education” হিসেবে উপস্থাপন করা হয়েছে, আর UGC-এর তথ্যেও এর স্বীকৃত অবস্থান এবং কুড়িগ্রাম সদরভিত্তিক ক্যাম্পাসের উল্লেখ আছে। নতুন বিশ্ববিদ্যালয় হওয়ায় এর অবকাঠামো, অনুষদ ও বিভাগসমূহ ধাপে ধাপে সম্প্রসারিত হচ্ছে, কিন্তু এটিই এর সম্ভাবনার বড় জায়গা—কারণ এটি শুরু থেকেই northern Bangladesh-এর কৃষি বাস্তবতা, খাদ্যনিরাপত্তা, জলবায়ু ঝুঁকি, নদীভাঙনপ্রবণ এলাকা এবং সীমান্তঘেঁষা গ্রামীণ অর্থনীতির সঙ্গে নিজেকে সংযুক্ত করছে। একজন শিক্ষার্থীর জন্য KuriAU-তে পড়ার অর্থ হলো একটি founding-phase institution-এর অংশ হওয়া, যেখানে agricultural research, technology-oriented rural problem solving এবং regional transformation–এর সুযোগ মিলতে পারে। যারা উত্তরাঞ্চলে থেকে specialized agricultural university education নিতে চায় এবং একটি নতুন কিন্তু উচ্চাভিলাষী প্রতিষ্ঠানের সঙ্গে নিজেদের গড়ে তুলতে আগ্রহী, তাদের জন্য Kurigram Agricultural University একটি খুবই সম্ভাবনাময় গন্তব্য।</t>
  </si>
  <si>
    <t>KrAU</t>
  </si>
  <si>
    <t>Vocational Mor, Kurigram-5600</t>
  </si>
  <si>
    <t>registrar@kuriau.edu.bd</t>
  </si>
  <si>
    <t>https://www.kuriau.edu.bd</t>
  </si>
  <si>
    <t>Khulna Agricultural University</t>
  </si>
  <si>
    <t>Khulna Agricultural University বা KAU দক্ষিণাঞ্চলের একটি গুরুত্বপূর্ণ পাবলিক কৃষি বিশ্ববিদ্যালয়, যা ২০১৫ সালে প্রতিষ্ঠিত হয় এবং অফিসিয়াল সাইটে একে দেশের পঞ্চম পাবলিক কৃষি বিশ্ববিদ্যালয় ও দক্ষিণাঞ্চলের প্রথম কৃষি বিশ্ববিদ্যালয় বলা হয়েছে। খুলনা অঞ্চলের কৃষি, জলবায়ু, উপকূলীয় বাস্তবতা, লবণাক্ততা, মৎস্য এবং প্রাণিসম্পদ গবেষণার জন্য এর অবস্থান অত্যন্ত তাৎপর্যপূর্ণ। UGC ও অফিসিয়াল সাইট অনুযায়ী এটি একটি government-financed public university, যেখানে শিক্ষক নিয়োগ, ল্যাবরেটরি যন্ত্রপাতি, গবেষণা প্রস্তাব, শিক্ষার্থী ইমেইল, academic calendar এবং কৃষি গুচ্ছ ভর্তি কার্যক্রমের মতো বাস্তব একাডেমিক উন্নয়ন চলমান। নতুন হওয়া সত্ত্বেও এটি নিজেকে agriculture-centered but modern research university হিসেবে প্রতিষ্ঠা করতে চায়। একজন শিক্ষার্থীর জন্য KAU-এর বড় আকর্ষণ হলো—এটি কৃষি ও সংশ্লিষ্ট sciences-এ specialized public education দেয়, আবার দক্ষিণাঞ্চলের বাস্তব কৃষি-সমস্যার সঙ্গে সরাসরি কাজ করার সম্ভাবনাও তৈরি করে। যারা খুলনা ও উপকূলীয় অঞ্চলের কাছাকাছি থেকে কৃষি, agritech, livestock, fisheries বা climate-smart agriculture–ভিত্তিক উচ্চশিক্ষা নিতে চায়, তাদের জন্য Khulna Agricultural University একটি অত্যন্ত প্রাসঙ্গিক ও কৌশলগত প্রতিষ্ঠান।</t>
  </si>
  <si>
    <t>KAU</t>
  </si>
  <si>
    <t>Daulatpur, Khulna-9202</t>
  </si>
  <si>
    <t>registrar@kau.ac.bd</t>
  </si>
  <si>
    <t>https://www.kau.edu.bd</t>
  </si>
  <si>
    <t>Habiganj Agricultural University</t>
  </si>
  <si>
    <t>Habiganj Agricultural University বা HAU হবিগঞ্জে প্রতিষ্ঠিত একটি নতুন পাবলিক কৃষি বিশ্ববিদ্যালয়, যা ২০২০ সালের আইনগত প্রক্রিয়ার পর ধাপে ধাপে একাডেমিক উপস্থিতি তৈরি করছে। অফিসিয়াল সাইটে বলা হয়েছে যে এটি sustainable agricultural practices, rural development, agricultural education, research and innovation–এর উন্নয়নের লক্ষ্য নিয়ে প্রতিষ্ঠিত হয়েছে, আর about page-এ Habiganj Sadar-এর Vadoi এলাকাকে ক্যাম্পাস হিসেবে দেখানো হয়েছে। নতুন কৃষি বিশ্ববিদ্যালয় হিসেবে এর বিশেষ গুরুত্ব হলো—সিলেট বিভাগের কৃষি, চা-বাগানঘেরা অঞ্চল, পাহাড়ি-সমতল সংমিশ্রিত ভূপ্রকৃতি, জলাবদ্ধতা, ফলনব্যবস্থা ও গ্রামীণ উন্নয়নের প্রশ্নগুলো নিয়ে ভবিষ্যৎ গবেষণার বড় ক্ষেত্র এখানে তৈরি হতে পারে। যেহেতু এটি এখনো বিকাশমান, তাই পূর্ণাঙ্গ অনুষদ, গবেষণা ল্যাব ও বড় অ্যালামনাই কাঠামো গড়ে উঠছে; কিন্তু একজন শিক্ষার্থীর জন্য এই developmental phase-ই একটি সুযোগ—প্রতিষ্ঠাকালীন academic culture-এর অংশ হওয়া এবং একটি specialized agricultural institution-এর প্রথমদিকের যাত্রায় যুক্ত থাকা। যারা কৃষি-উন্নয়ন, গবেষণা, গ্রামীণ অর্থনীতি ও আধুনিক food systems নিয়ে পড়তে চায়, তাদের জন্য Habiganj Agricultural University একটি সম্ভাবনাময় উদীয়মান প্রতিষ্ঠান।</t>
  </si>
  <si>
    <t>HAU</t>
  </si>
  <si>
    <t>Vadoi, Habiganj-3300</t>
  </si>
  <si>
    <t>registraroffice@hau.ac.bd</t>
  </si>
  <si>
    <t>https://www.hau.ac.bd</t>
  </si>
  <si>
    <t>Chittagong Veterinary and Animal Sciences University</t>
  </si>
  <si>
    <t>Chittagong Veterinary and Animal Sciences University-এর বর্তমান অফিসিয়াল ইংরেজি নাম Chattogram Veterinary and Animal Sciences University বা CVASU, এবং এটি বাংলাদেশের ভেটেরিনারি, food science, fisheries ও biotechnology-ভিত্তিক উচ্চশিক্ষার অন্যতম স্বনামধন্য specialized public university। অফিসিয়াল সাইট অনুযায়ী এখানে Faculty of Veterinary Medicine, Faculty of Food Science and Technology, Faculty of Fisheries এবং Faculty of Biotechnology and Genetic Engineering রয়েছে; পাশাপাশি Teaching and Training Pet Hospital and Research Center, Coastal Biodiversity, Marine Fisheries and Wildlife Research Centre, library, IQAC এবং research-directed unit-ও চালু আছে। এই বিশ্ববিদ্যালয়ের historical roots ১৯৯৬ সালের Chittagong Government Veterinary College পর্যন্ত গিয়েছে এবং ২০০৬ সালে বিশ্ববিদ্যালয় হিসেবে এর প্রতিষ্ঠা দৃঢ় হয়। Chattogram শহরের ভেতরে অবস্থান হওয়ায় এটি নগর-সংযুক্ত কিন্তু highly specialized academic environment দেয়। animal health, veterinary public health, food safety, fisheries, marine resources এবং biotechnology–এর সমন্বয়ে CVASU এমন একটি একাডেমিক পরিসর তৈরি করেছে যা বাংলাদেশের livestock, food and aquatic sectors-এর জন্য অত্যন্ত গুরুত্বপূর্ণ। যারা veterinary medicine, animal science, food technology, fisheries বা biotech–এ উচ্চশিক্ষা নিতে চায়, তাদের জন্য Chattogram Veterinary and Animal Sciences University একটি অত্যন্ত মর্যাদাপূর্ণ ও গবেষণামুখী পছন্দ।</t>
  </si>
  <si>
    <t>CVASU</t>
  </si>
  <si>
    <t>Khulsi, Chattogram-4202</t>
  </si>
  <si>
    <t>registrar@cvasu.ac.bd</t>
  </si>
  <si>
    <t>https://www.cvasu.ac.bd</t>
  </si>
  <si>
    <t>Bangladesh Agricultural University</t>
  </si>
  <si>
    <t>Bangladesh Agricultural University বা BAU ময়মনসিংহে অবস্থিত বাংলাদেশের কৃষিশিক্ষার সবচেয়ে ঐতিহ্যবাহী ও প্রভাবশালী বিশ্ববিদ্যালয়গুলোর একটি, এবং অফিসিয়াল সাইটে একে দেশের premier institution for agricultural education, research and innovation বলা হয়েছে। ১৯৬১ সালে প্রতিষ্ঠিত এই বিশ্ববিদ্যালয় বহু দশক ধরে বাংলাদেশে কৃষিবিদ, পশুচিকিৎসক, কৃষি প্রকৌশলী, মৎস্যবিদ, খাদ্য ও কৃষি-গবেষক তৈরির প্রধান কেন্দ্র হিসেবে কাজ করছে। অফিসিয়াল তথ্য অনুযায়ী এখানে ৯টি undergraduate program, ৫১টি graduate program ও ৪৫টি PhD program, ৪৫টি department এবং ৩টি institute রয়েছে। এই বিশাল একাডেমিক কাঠামো BAU-কে একটি পূর্ণাঙ্গ agriculture-based research university-তে পরিণত করেছে। এর campus large, residential এবং student life-সমৃদ্ধ; উন্মুক্ত নির্ভরযোগ্য উৎসে ১২০০ একর ক্যাম্পাস, পুরোনো ব্রহ্মপুত্রের নিকটবর্তী অবস্থান, auditorium, TSC এবং recreational facilities-এর উল্লেখ আছে। BAU-এর বিশেষ শক্তি হলো—এটি agriculture-কে শুধু চাষাবাদ হিসেবে নয়, বরং food production, livestock, fisheries, biotechnology, agribusiness, agricultural engineering এবং sustainable development–এর সঙ্গে যুক্ত করে। যারা কৃষি ও সংশ্লিষ্ট life sciences-এ বাংলাদেশের সবচেয়ে প্রতিষ্ঠিত public university experience চায়, তাদের জন্য Bangladesh Agricultural University নিঃসন্দেহে একটি শীর্ষ পছন্দ।</t>
  </si>
  <si>
    <t>BAU</t>
  </si>
  <si>
    <t>Mymensingh-2202</t>
  </si>
  <si>
    <t>registrar@bau.edu.bd</t>
  </si>
  <si>
    <t>https://www.bau.edu.bd</t>
  </si>
  <si>
    <t>Bangabandhu Sheikh Mujibur Rahman Agricultural University</t>
  </si>
  <si>
    <t>Bangabandhu Sheikh Mujibur Rahman Agricultural University নামে পরিচিত প্রতিষ্ঠানটির বর্তমান সরকারি নাম এখন Gazipur Agricultural University, এবং অফিসিয়াল সাইটে স্পষ্টভাবে বলা হয়েছে যে ২০২৫ সালের ১২ ফেব্রুয়ারি Presidential ordinance-এর মাধ্যমে BSMRAU-এর নাম পরিবর্তন করে Gazipur Agricultural University করা হয়। সালনা, গাজীপুরে অবস্থিত এই বিশ্ববিদ্যালয় ১৯৯৮ সালে প্রতিষ্ঠিত হয়েছিল, আর তার আগে এটি IPSA বা Institute of Post Graduate Studies in Agriculture হিসেবে পরিচিত ছিল। অফিসিয়াল সাইট অনুযায়ী এর academic structure-এ Agricultural and Bioresources Engineering-এর মতো faculty এবং Farm Machinery and Precision Engineering, Irrigation and Water Resources Management, Structures and Environmental Engineering, Computer Science and Information Technology, Food Engineering-এর মতো বিভাগ রয়েছে। সাম্প্রতিক একাডেমিক ও ranking তথ্য অনুযায়ী বিশ্ববিদ্যালয়টি life sciences-এ আন্তর্জাতিক পর্যায়ে দৃশ্যমানতা অর্জন করেছে। কৃষি ও প্রযুক্তির সমন্বয়ে এই প্রতিষ্ঠানের শক্তি আলাদা—এখানে traditional agriculture-এর পাশাপাশি smart farming, biosystems engineering, food engineering ও agricultural technology–র ওপর গুরুত্ব দেওয়া হয়। আপনি পুরোনো নাম ব্যবহার করলেও বর্তমান বাস্তবে এটিকে Gazipur Agricultural University হিসেবে উল্লেখ করা বেশি সঠিক।</t>
  </si>
  <si>
    <t>BSMRAU</t>
  </si>
  <si>
    <t>Salna, Gazipur-1706</t>
  </si>
  <si>
    <t>registrar@bsmrau.edu.bd</t>
  </si>
  <si>
    <t>https://bsmrau.edu.bd</t>
  </si>
  <si>
    <t>7.Under Army</t>
  </si>
  <si>
    <t>Military Institute of Science and Technology</t>
  </si>
  <si>
    <t>Military Institute of Science and Technology বা MIST বাংলাদেশের সশস্ত্র বাহিনী-সংযুক্ত সবচেয়ে গুরুত্বপূর্ণ প্রকৌশল ও প্রযুক্তি বিশ্ববিদ্যালয়গুলোর একটি, যা ১৯ এপ্রিল ১৯৯৮ সালে যাত্রা শুরু করে এবং Armed Forces Division-এর তথ্য অনুযায়ী Bangladesh Armed Forces-এর pioneer technical institute হিসেবে পরিচিত। মিরপুর ক্যান্টনমেন্টে অবস্থিত MIST science, engineering, technology এবং engineering management–কেন্দ্রিক উচ্চশিক্ষা প্রদান করে, এবং অফিসিয়াল about page-এ একে quality education ও research-এর মাধ্যমে national and global challenges মোকাবিলার center of excellence হিসেবে উপস্থাপন করা হয়েছে। undergraduate program পেজে বলা হয়েছে যে এখানে technology-enriched learning environment, small class size, internship, research opportunity এবং hands-on learning-এর সুযোগ রয়েছে; একই সঙ্গে main ও extended campus হিসেবে Mirpur, Bhatiary, Jessore এবং Potenga-এর উল্লেখ আছে। MIST-এর বিশেষ আকর্ষণ হলো disciplined military-managed environment-এর সঙ্গে modern engineering education-এর সমন্বয়। রোবোটিক্স, AI hackathon, engineering conference, aerospace, civil, CSE, EEE এবং অন্যান্য technical discipline-এ শিক্ষার্থীদের সাফল্য এটিকে আরও দৃশ্যমান করেছে। যারা উচ্চমানের engineering education, শৃঙ্খলাবদ্ধ campus culture, research linkage এবং strong career orientation চায়, তাদের জন্য Military Institute of Science and Technology একটি অত্যন্ত মর্যাদাপূর্ণ ও ভবিষ্যতমুখী পছন্দ।</t>
  </si>
  <si>
    <t>MIST</t>
  </si>
  <si>
    <t>Mirpur Cantonment, Dhaka-1216</t>
  </si>
  <si>
    <t>registrar@mist.ac.bd</t>
  </si>
  <si>
    <t>https://mist.ac.bd</t>
  </si>
  <si>
    <t>https://admission.mist.ac.bd</t>
  </si>
  <si>
    <t>Bangladesh University of Professionals</t>
  </si>
  <si>
    <t>Bangladesh University of Professionals বা BUP ঢাকার মিরপুর ক্যান্টনমেন্টে অবস্থিত একটি সরকারি বিশ্ববিদ্যালয়, যা ২০০৮ সালের ৫ জুন প্রতিষ্ঠিত হয় এবং অফিসিয়াল সাইটে need-based education and research with global perspective–ভিত্তিক leading university হিসেবে পরিচিত। BUP-এর বিশেষত্ব হলো এটি civil এবং military—উভয় ধরনের শিক্ষার্থী ও পেশাজীবীদের জন্য একসঙ্গে উচ্চশিক্ষার প্ল্যাটফর্ম তৈরি করেছে। অফিসিয়াল academics page অনুযায়ী এখানে Faculty of Business Studies, Faculty of Security &amp; Strategic Studies, Faculty of Science &amp; Technology এবং আরও বিভিন্ন academic structure রয়েছে; undergraduate program তালিকায় Computer Science and Engineering, Disaster Management and Resilience, Peace, Conflict and Human Rights Studies-এর মতো বৈচিত্র্যময় প্রোগ্রাম দেখা যায়। affiliated institute কাঠামোর মাধ্যমে BUP-এর সঙ্গে নৌ, বিমান ও সামরিক কিছু বিশেষায়িত training institution-ও যুক্ত। মিরপুর ক্যান্টনমেন্টের সবুজ, নিরাপদ ও তুলনামূলকভাবে শান্ত পরিবেশ শিক্ষার্থীদের জন্য একটি স্বতন্ত্র campus experience তৈরি করে। যারা public university degree-এর পাশাপাশি discipline, strategic studies, business, technology এবং professional orientation-এর একটি অনন্য সমন্বয় খুঁজছে, তাদের জন্য Bangladesh University of Professionals একটি অত্যন্ত কার্যকর ও সম্মানজনক প্রতিষ্ঠান।</t>
  </si>
  <si>
    <t>BUP</t>
  </si>
  <si>
    <t>info@bup.edu.bd</t>
  </si>
  <si>
    <t>bup.edu.bd</t>
  </si>
  <si>
    <t>admission.bup.edu.bd</t>
  </si>
  <si>
    <t>Under Army</t>
  </si>
  <si>
    <t>Bangladesh Naval Academy</t>
  </si>
  <si>
    <t>Bangladesh Naval Academy বাংলাদেশের নৌবাহিনীর officer cadet training institution এবং BUP-এর affiliated institute হিসেবে পরিচিত, যা চট্টগ্রামের পতেঙ্গায় অবস্থিত। BUP-এর affiliate page-এ বলা হয়েছে যে এটি দক্ষিণ-পূর্ব এশিয়ার অন্যতম reputed military naval training academy, ১৯৭৬ সালে Juldia Marine Academy প্রাঙ্গণে শুরু হয়ে পরে BNS Issa Khan-এ স্থানান্তরিত হয় এবং ১৯৮৮ সালে বর্তমান স্থানে যায়। নির্ভরযোগ্য উন্মুক্ত উৎসেও ১৯৭৬ সালের প্রতিষ্ঠাবর্ষ, Patenga অবস্থান এবং officer training character-এর উল্লেখ রয়েছে। Naval Academy হিসেবে এর মূল কাজ traditional civilian university education নয়; বরং cadet officer training, naval discipline, maritime leadership, navigation-oriented formation এবং professional military development। তবে BUP-affiliation-এর কারণে এটি broader higher education framework-এর সঙ্গেও সংযুক্ত। একজন শিক্ষার্থীর জন্য বা cadet aspirant-এর জন্য এর বড় আকর্ষণ হলো—এটি সমুদ্র ও সামুদ্রিক নিরাপত্তাকেন্দ্রিক পেশাজীবনের প্রবেশদ্বার, যেখানে training, discipline, leadership, endurance এবং naval identity একই সঙ্গে গড়ে ওঠে। যারা নৌবাহিনীতে officer career, structured training environment এবং maritime defence ecosystem-এর অংশ হতে চায়, তাদের জন্য Bangladesh Naval Academy একটি অত্যন্ত বিশেষায়িত ও মর্যাদাপূর্ণ প্রতিষ্ঠান।</t>
  </si>
  <si>
    <t>BNA</t>
  </si>
  <si>
    <t>Patenga, Chattogram</t>
  </si>
  <si>
    <t>bna@navy.mil.bd</t>
  </si>
  <si>
    <t>https://bna.navy.mil.bd</t>
  </si>
  <si>
    <t>https://joinnavy.navy.mil.bd</t>
  </si>
  <si>
    <t>Bangladesh Air Force Academy</t>
  </si>
  <si>
    <t>Bangladesh Air Force Academy বা BAFA বাংলাদেশ বিমান বাহিনীর officer cadet training institution, যা যশোরের BAF Base Matiur Rahman-এ অবস্থিত এবং বিমানবাহিনীর কর্মকর্তা তৈরির প্রাথমিক ও কৌশলগত প্রশিক্ষণকেন্দ্র হিসেবে কাজ করে। নির্ভরযোগ্য উন্মুক্ত তথ্যসূত্রে এর প্রতিষ্ঠাবর্ষ ১৯৮২ এবং অফিসিয়াল BAFA/ISPR-সংক্রান্ত তথ্যসূত্রে President Parade, commissioning course এবং officer cadet training-এর সাম্প্রতিক কার্যক্রম নিয়মিত দেখা যায়। BAFA-এর চরিত্র traditional civilian university-এর মতো নয়; বরং এটি military academy, যেখানে flight-oriented discipline, officer-like qualities, parade, physical training, aviation-related education এবং Air Force professional formation একত্রে চলে। কিছু নির্ভরযোগ্য উৎসে BUP-সংযুক্ত academic program যেমন BSc in Aeronautics বা BBS-এর কথাও উল্লেখ আছে, যা এটিকে military training ও formal academic structure-এর এক বিশেষ মিশ্রণে পরিণত করেছে। যারা বিমানবাহিনীতে officer হওয়ার স্বপ্ন দেখে এবং disciplined, aviation-oriented, leadership-driven প্রশিক্ষণ পরিবেশে নিজেদের গড়তে চায়, তাদের জন্য Bangladesh Air Force Academy একটি অত্যন্ত সম্মানজনক ও স্বতন্ত্র প্রতিষ্ঠান।</t>
  </si>
  <si>
    <t>BAFA</t>
  </si>
  <si>
    <t>Jashore, Bangladesh</t>
  </si>
  <si>
    <t>info@bafa.mil.bd</t>
  </si>
  <si>
    <t>https://bafa.mil.bd</t>
  </si>
  <si>
    <t>https://joinairforce.baf.mil.bd</t>
  </si>
  <si>
    <t>Army Institute of Business Administration, Sylhet</t>
  </si>
  <si>
    <t>Army Institute of Business Administration, Sylhet বা AIBA Sylhet ১৫ জানুয়ারি ২০১৫ সালে জালালাবাদ ক্যান্টনমেন্টে প্রতিষ্ঠিত হয় এবং অফিসিয়াল সাইট অনুযায়ী এটি Bangladesh University of Professionals-এর affiliated institute। AIBA Sylhet-এর মূল ফোকাস business administration, leadership development, entrepreneurial thinking এবং disciplined learning environment। অফিসিয়াল সাইটে BBA ও MBA program, waiver policy, faculty, campus life, clubs, facilities, research এবং safety and security–এর মতো উপাদানের উপস্থিতি দেখা যায়, যা এটিকে একটি পূর্ণাঙ্গ business school-ধর্মী institution হিসেবে তুলে ধরে। সামরিক ব্যবস্থাপনায় পরিচালিত হলেও এর লক্ষ্য কেবল defence personnel training নয়; বরং সাধারণ শিক্ষার্থীসহ বৃহত্তর সমাজের জন্য quality business education প্রদান করা। Sylhet-এর আঞ্চলিক ও আন্তর্জাতিক সংযোগ—বিশেষ করে প্রবাসী অর্থনীতি, private sector growth এবং service economy—AIBA Sylhet-এর business education-কে আরও প্রাসঙ্গিক করে। যারা disciplined campus, business-focused degree, BUP-affiliated পরিচয় এবং regionally strategic location—এই চারটি সুবিধার সমন্বয় চায়, তাদের জন্য Army Institute of Business Administration, Sylhet একটি আকর্ষণীয় ও পেশাভিত্তিক পছন্দ।</t>
  </si>
  <si>
    <t>AIBA Sylhet</t>
  </si>
  <si>
    <t>Jalalabad Cantonment</t>
  </si>
  <si>
    <t>info@aibasylhet.edu.bd</t>
  </si>
  <si>
    <t>https://aibasylhet.edu.bd</t>
  </si>
  <si>
    <t>https://aibasylhet.edu.bd/admission</t>
  </si>
  <si>
    <t>Army Institute of Business Administration, Savar</t>
  </si>
  <si>
    <t>Army Institute of Business Administration, Savar বা AIBA Savar ২০১৫ সালে সাভার ক্যান্টনমেন্টে প্রতিষ্ঠিত হয় এবং অফিসিয়াল সাইটে একে Bangladesh Army-এর direct supervision-এ পরিচালিত প্রথম IBA হিসেবে উল্লেখ করা হয়েছে, যা Bangladesh University of Professionals-এর সঙ্গে একাডেমিকভাবে যুক্ত। এর BBA ও MBA program, academic calendar, tuition structure, scholarship, journal, career support এবং alumni presence—সব মিলিয়ে এটিকে একটি structured business school environment হিসেবে উপস্থাপন করা হয়েছে। সাভার-ঢাকা করিডরের অবস্থান ব্যবসা, শিল্প, logistics, manufacturing এবং service-sector understanding-এর জন্য বাড়তি সুবিধা দেয়। AIBA Savar-এর বড় শক্তি হলো—এটি business education-কে disciplined institutional culture-এর সঙ্গে যুক্ত করেছে, ফলে শিক্ষার্থীরা একদিকে professional degree, অন্যদিকে structured conduct, leadership এবং presentation skill উন্নয়নের সুযোগ পায়। যারা BUP-affiliated business education, cantonment-based নিরাপদ campus এবং entrepreneurship বা corporate career-এর জন্য focused preparation চায়, তাদের জন্য Army Institute of Business Administration, Savar একটি খুবই কার্যকর ও বাস্তবধর্মী বিকল্প।</t>
  </si>
  <si>
    <t>AIBA Savar</t>
  </si>
  <si>
    <t>Savar Cantonment</t>
  </si>
  <si>
    <t>info@aibasavar.edu.bd</t>
  </si>
  <si>
    <t>https://aibasavar.edu.bd</t>
  </si>
  <si>
    <t>https://aibasavar.edu.bd/admission</t>
  </si>
  <si>
    <t>Navy Medical College Chattogram</t>
  </si>
  <si>
    <t>Navy Medical College Chattogram বা NMCC বাংলাদেশের নৌবাহিনী-সমর্থিত একটি মেডিকেল কলেজ, যার অফিসিয়াল সাইটে বলা হয়েছে যে এটি Chattogram-এর বন্দরনগর পরিবেশে academic excellence, safety এবং holistic development নিশ্চিত করার লক্ষ্য নিয়ে গড়ে তোলা হয়েছে। official affiliation page ও Navy prospectus-সংক্রান্ত তথ্য অনুযায়ী কলেজটি Ministry of Health and Family Welfare, DGME এবং BMDC-এর academic approval framework-এর মধ্যে কাজ করছে। এর ক্যাম্পাসে academic building, residential facility, simulation laboratory, sports complex এবং disciplined naval ethos-এর সমন্বয়ের কথা উল্লেখ আছে, যা NMCC-কে সাধারণ বেসরকারি কলেজ থেকে কিছুটা আলাদা পরিচয় দেয়। Chattogram-এর বৃহত্তম naval base ও commercial hub-এর নিকটবর্তী অবস্থান একে একদিকে নিরাপদ ও শৃঙ্খলাবদ্ধ, অন্যদিকে নগর ও বন্দরভিত্তিক চিকিৎসা-বাস্তবতার সঙ্গে সংযুক্ত করে। যারা medical education-এর সঙ্গে naval discipline, secure residential environment এবং modern academic facility-এর সমন্বয় চায়, তাদের জন্য Navy Medical College Chattogram একটি স্বতন্ত্র ও আগ্রহজনক পছন্দ।</t>
  </si>
  <si>
    <t>NMCC</t>
  </si>
  <si>
    <t>Navy Hospital Area, Chattogram</t>
  </si>
  <si>
    <t>info@nmcc.edu.bd</t>
  </si>
  <si>
    <r>
      <rPr>
        <rFont val="Arial"/>
        <b/>
        <color rgb="FF1155CC"/>
        <u/>
      </rPr>
      <t>https://nmcc.edu.bd</t>
    </r>
  </si>
  <si>
    <r>
      <rPr>
        <rFont val="Arial"/>
        <b/>
        <color rgb="FF1155CC"/>
        <u/>
      </rPr>
      <t>http://afmc.teletalk.com.bd</t>
    </r>
  </si>
  <si>
    <t>Army Medical College Rangpur</t>
  </si>
  <si>
    <t>Army Medical College Rangpur বা AMCR রংপুর ক্যান্টনমেন্টে অবস্থিত একটি Army Welfare Trust-সমর্থিত মেডিকেল কলেজ, যা ২০১৫ সালে প্রতিষ্ঠিত হয় এবং অফিসিয়াল সাইট অনুযায়ী Bangladesh University of Professionals-এর সঙ্গে affiliated ও BMDC-recognized। about page-এ এটিকে northern Bangladesh-এর serene environment-এ অবস্থিত distinguished medical institution বলা হয়েছে, যেখানে quality medical education ও healthcare service-এর ওপর জোর দেওয়া হয়। MBBS program-এর phase-based training, medicine department-সংক্রান্ত practical teaching এবং disciplined cantonment environment AMCR-এর বিশেষ বৈশিষ্ট্য। রংপুর অঞ্চলে clinical ও academic সুযোগের সঙ্গে military-managed institutional culture-এর সমন্বয় এটিকে আলাদা পরিচয় দিয়েছে। যারা disciplined environment, BUP-affiliated medical education, BMDC recognition এবং উত্তরাঞ্চলে একটি structured private medical college experience চায়, তাদের জন্য Army Medical College Rangpur একটি শক্তিশালী ও পেশাভিত্তিক পছন্দ।</t>
  </si>
  <si>
    <t>AMCR</t>
  </si>
  <si>
    <t>Rangpur Cantonment, Rangpur</t>
  </si>
  <si>
    <t>ramc.mil.bd@gmail.com</t>
  </si>
  <si>
    <r>
      <rPr>
        <rFont val="Arial"/>
        <b/>
        <color rgb="FF1155CC"/>
        <u/>
      </rPr>
      <t>https://amcrbd.org</t>
    </r>
  </si>
  <si>
    <r>
      <rPr>
        <rFont val="Arial"/>
        <b/>
        <color rgb="FF1155CC"/>
        <u/>
      </rPr>
      <t>http://afmc.teletalk.com.bd</t>
    </r>
  </si>
  <si>
    <t>Under Army (Medical)</t>
  </si>
  <si>
    <t>Army Medical College Jashore</t>
  </si>
  <si>
    <t>Army Medical College Jashore বা AMCJ যশোর ক্যান্টনমেন্টে অবস্থিত একটি Army Welfare Trust-নিয়ন্ত্রিত মেডিকেল কলেজ, যা ১০ জানুয়ারি ২০১৫ সালে Ministry of Health and Family Welfare-এর অনুমোদনে প্রতিষ্ঠিত হয়। অফিসিয়াল সাইটে স্পষ্টভাবে বলা হয়েছে যে এটি Bangladesh Army-এর তত্ত্বাবধানে পরিচালিত private medical college, এবং academic ও administrative support সরাসরি AWT ও Area HQ Jashore-এর অধীনে। কলেজটির লক্ষ্য medical education, research ও healthcare-এ excellence foster করা, এবং এর structured campus, admission, academic notice, faculty, alumni ও history section একটি organized institutional setup-এর ইঙ্গিত দেয়। যশোর অঞ্চলে অবস্থান হওয়ায় এটি খুলনা বিভাগের শিক্ষার্থীদের জন্য চিকিৎসাশিক্ষার একটি আলাদা পথ তৈরি করে, বিশেষ করে যারা cantonment-based disciplined academic environment পছন্দ করে। যারা Army-backed private medical college, military discipline, MBBS training এবং যশোর অঞ্চলে medical career preparation—এই চারটির সমন্বয় চায়, তাদের জন্য Army Medical College Jashore একটি উল্লেখযোগ্য বিকল্প।</t>
  </si>
  <si>
    <t>AMCJ</t>
  </si>
  <si>
    <t>Jashore Cantonment, Jashore</t>
  </si>
  <si>
    <t>mc.jessore55@gmail.com</t>
  </si>
  <si>
    <r>
      <rPr>
        <rFont val="Arial"/>
        <b/>
        <color rgb="FF1155CC"/>
        <u/>
      </rPr>
      <t>https://amcj.edu.bd</t>
    </r>
  </si>
  <si>
    <r>
      <rPr>
        <rFont val="Arial"/>
        <b/>
        <color rgb="FF1155CC"/>
        <u/>
      </rPr>
      <t>http://afmc.teletalk.com.bd</t>
    </r>
  </si>
  <si>
    <t>Army Medical College Cumilla</t>
  </si>
  <si>
    <t>Army Medical College Cumilla কুমিল্লা ক্যান্টনমেন্টে অবস্থিত একটি Army-affiliated মেডিকেল কলেজ, যার অফিসিয়াল সাইটে বলা হয়েছে যে এর aim হলো BMDC syllabus অনুযায়ী পাঁচ academic year ধরে নির্বাচিত শিক্ষার্থীদের MBBS degree-এর জন্য প্রশিক্ষণ দেওয়া, এবং degree Bangladesh University of Professionals-এর মাধ্যমে প্রদান করা হয়। সাইটে আরও উল্লেখ আছে যে কলেজটির লক্ষ্য armed forces এবং জাতির জন্য high quality career doctor তৈরি করা। admission, result, journal, library, department details, faculty login এবং academic notice–এর মতো নানা সেকশন থেকে বোঝা যায় যে প্রতিষ্ঠানটি শুধু একটি training shell নয়, বরং একটি সক্রিয় ও structured medical college। JAMCCu নামে peer-reviewed journal থাকার তথ্য scholarly activity-এর দিকটিও নির্দেশ করে। কুমিল্লা অঞ্চলে cantonment-based secure environment, disciplined training এবং BUP-linked medical degree pathway—এই তিনটি কারণে Army Medical College Cumilla অনেক শিক্ষার্থীর কাছে আকর্ষণীয়। যারা structured private medical education, military-managed environment এবং পেশাগতভাবে focused MBBS journey চায়, তাদের জন্য Army Medical College Cumilla একটি সুসংগঠিত ও কার্যকর পছন্দ।</t>
  </si>
  <si>
    <t>AMCCU</t>
  </si>
  <si>
    <t>Cumilla Cantonment, Cumilla</t>
  </si>
  <si>
    <t>amccomilla2015@gmail.com</t>
  </si>
  <si>
    <r>
      <rPr>
        <rFont val="Arial"/>
        <b/>
        <color rgb="FF1155CC"/>
        <u/>
      </rPr>
      <t>https://amccomilla.edu.bd</t>
    </r>
  </si>
  <si>
    <r>
      <rPr>
        <rFont val="Arial"/>
        <b/>
        <color rgb="FF1155CC"/>
        <u/>
      </rPr>
      <t>http://afmc.teletalk.com.bd</t>
    </r>
  </si>
  <si>
    <t>Army Medical College Chattogram</t>
  </si>
  <si>
    <t>Army Medical College Chattogram বা AMCC চট্টগ্রাম ক্যান্টনমেন্টভিত্তিক একটি Army-managed মেডিকেল কলেজ, যা ২০১৫ সালে যাত্রা শুরু করে এবং অফিসিয়াল তথ্য অনুযায়ী মানসম্মত MBBS শিক্ষা, disciplined learning environment এবং modern para-clinical ও clinical teaching facilities-এর ওপর জোর দেয়। এর about page-এ World Directory of Medical Schools ও ECFMG-সংক্রান্ত আন্তর্জাতিক স্বীকৃতির কথাও উল্লেখ আছে, যা বিদেশে উচ্চশিক্ষা বা licensing pathway বিবেচনাকারী শিক্ষার্থীদের জন্য গুরুত্বপূর্ণ। ক্যান্টনমেন্ট পরিবেশের কারণে এখানে নিরাপদ, নিয়ন্ত্রিত ও শৃঙ্খলাবদ্ধ academic life গড়ে ওঠে, আর চট্টগ্রামের বড় শহুরে ও বন্দরভিত্তিক স্বাস্থ্যবাস্তবতা clinical learning-কে আরও সমৃদ্ধ করে। যারা private-but-army-governed medical education, MBBS degree pathway, modern campus support এবং disciplined institutional culture চায়, তাদের জন্য Army Medical College Chattogram একটি আকর্ষণীয় ও পেশাভিত্তিক পছন্দ।</t>
  </si>
  <si>
    <t>AMCC</t>
  </si>
  <si>
    <t>Chattogram Cantonment, Chattogram</t>
  </si>
  <si>
    <t>amcc.ctg@gmail.com</t>
  </si>
  <si>
    <r>
      <rPr>
        <rFont val="Arial"/>
        <b/>
        <color rgb="FF1155CC"/>
        <u/>
      </rPr>
      <t>https://amcc.edu.bd</t>
    </r>
  </si>
  <si>
    <r>
      <rPr>
        <rFont val="Arial"/>
        <b/>
        <color rgb="FF1155CC"/>
        <u/>
      </rPr>
      <t>http://afmc.teletalk.com.bd</t>
    </r>
  </si>
  <si>
    <t>Army Medical College Bogura</t>
  </si>
  <si>
    <t>Army Medical College Bogura বা AMCB বগুড়া ক্যান্টনমেন্টে অবস্থিত একটি Army-controlled মেডিকেল কলেজ, যার অফিসিয়াল সাইট ও নির্ভরযোগ্য উন্মুক্ত তথ্য অনুযায়ী ২০১৪ সালে প্রতিষ্ঠার পর ২০১৫ সালে একাডেমিক কার্যক্রম শুরু হয়। এটি MBBS program পরিচালনা করে, BMDC-recognized degree pathway অনুসরণ করে এবং Bangladesh University of Professionals-এর সঙ্গে একাডেমিকভাবে যুক্ত। উত্তরাঞ্চলের একটি cantonment-based medical college হিসেবে এর বিশেষ আকর্ষণ হলো disciplined environment, comparatively focused student life এবং regional clinical exposure-এর সমন্বয়। যারা structured private medical education, military-managed culture এবং Bogura/উত্তরাঞ্চলকেন্দ্রিক চিকিৎসাশিক্ষার সুযোগ চায়, তাদের জন্য Army Medical College Bogura একটি উল্লেখযোগ্য বিকল্প।</t>
  </si>
  <si>
    <t>AMCB</t>
  </si>
  <si>
    <t>Bogura Cantonment, Bogura</t>
  </si>
  <si>
    <t>info@amcb.edu.bd</t>
  </si>
  <si>
    <t>https://amcb.edu.bd</t>
  </si>
  <si>
    <t>http://afmc.teletalk.com.bd</t>
  </si>
  <si>
    <t>Armed Forces Medical College</t>
  </si>
  <si>
    <t>Armed Forces Medical College বা AFMC ঢাকার ক্যান্টনমেন্টে অবস্থিত বাংলাদেশের অন্যতম স্বতন্ত্র মেডিকেল কলেজ, যা সশস্ত্র বাহিনীর তত্ত্বাবধানে পরিচালিত হলেও broader national medical education system-এর অংশ হিসেবে কাজ করে। অফিসিয়াল সাইট ও Armed Forces Division-এর তথ্য অনুযায়ী AFMC প্রতিষ্ঠিত হয় দেশের জন্য well-disciplined, patriotic, humane, research-minded medical professional তৈরির লক্ষ্য নিয়ে, এবং এর ভর্তি কাঠামোর অধীনে AFMC ও পাঁচটি Army Medical College-এর আসন পরিকল্পনাও সমন্বিতভাবে প্রকাশিত হয়। এখানে MBBS শিক্ষা শুধু ক্লাসরুমে সীমাবদ্ধ নয়; বরং military discipline, leadership development, clinical responsibility এবং professional conduct–এর ওপরও বিশেষ জোর দেওয়া হয়। যারা strong academic environment-এর পাশাপাশি defence-linked discipline এবং highly structured medical training চায়, তাদের জন্য Armed Forces Medical College একটি অত্যন্ত মর্যাদাপূর্ণ পছন্দ।</t>
  </si>
  <si>
    <t>AFMC</t>
  </si>
  <si>
    <t>Dhaka Cantonment, Dhaka-1206</t>
  </si>
  <si>
    <t>info@afmc.edu.bd</t>
  </si>
  <si>
    <t>https://afmc.edu.bd</t>
  </si>
  <si>
    <t>8.DCU</t>
  </si>
  <si>
    <t>Dhaka College</t>
  </si>
  <si>
    <t>Dhaka College বাংলাদেশের অন্যতম প্রাচীন ও ঐতিহাসিক উচ্চশিক্ষা প্রতিষ্ঠান, যা ১৮৪১ সালে প্রতিষ্ঠিত হয় এবং বর্তমানেও ঢাকার নিউমার্কেট এলাকায় একটি শক্তিশালী পাবলিক কলেজ হিসেবে সক্রিয়। অফিসিয়াল ওয়েবসাইটে honors-level program-এর সংখ্যা, scholarships, affordable tuition ও student success-এর ওপর জোর দেওয়া হয়েছে, আর ঢাকা বিশ্ববিদ্যালয়ের constituent college portal-এ এটিকে “Dhaka College, Dhaka (1841)” হিসেবে আলাদাভাবে উপস্থাপন করা হয়েছে। দীর্ঘ ইতিহাস, নগরকেন্দ্রিক অবস্থান, বৃহৎ ছাত্রসমাজ এবং সাধারণ ও অনার্স-মাস্টার্স স্তরের শিক্ষার কারণে Dhaka College কেবল কলেজ নয়, বরং বাংলাদেশের আধুনিক উচ্চশিক্ষার ইতিহাসের একটি গুরুত্বপূর্ণ অংশ। যারা ঐতিহ্য, পরিচিতি, কেন্দ্রীয় অবস্থান এবং দীর্ঘপ্রজ শিক্ষাগত মর্যাদার সমন্বয়ে একটি ঐতিহাসিক প্রতিষ্ঠানে পড়তে চায়, তাদের জন্য Dhaka College একটি খুবই সম্মানজনক নির্বাচন।</t>
  </si>
  <si>
    <t>DC</t>
  </si>
  <si>
    <t>New Market, Mirpur Road, Dhaka-1205</t>
  </si>
  <si>
    <t>principal@dhakacollege.edu.bd</t>
  </si>
  <si>
    <t>www.dhakacollege.edu.bd</t>
  </si>
  <si>
    <t>collegeadmission.eis.du.ac.bd</t>
  </si>
  <si>
    <t>Eden Mohila College</t>
  </si>
  <si>
    <t>Eden Mohila College বা Eden College ঢাকার আজিমপুর-লালবাগ এলাকায় অবস্থিত বাংলাদেশের অন্যতম বড় ও ঐতিহ্যবাহী সরকারি মহিলা কলেজ, যার ইতিহাস ১৮৭৩ সালে Dhaka Female School থেকে শুরু। অফিসিয়াল সাইটে কলেজটির অবস্থান, সমৃদ্ধ club structure, Red Crescent, BNCC, Rover Scout, Research Club এবং অন্যান্য co-curricular activity-এর উল্লেখ রয়েছে, যা এটিকে কেবল একাডেমিক নয়, বরং নারীদের নেতৃত্ব, সাংস্কৃতিক বিকাশ ও সামাজিক সম্পৃক্ততার একটি শক্ত প্ল্যাটফর্মে পরিণত করেছে। দীর্ঘদিন ধরে এটি ঢাকার নারীশিক্ষার কেন্দ্রীয় নাম, এবং এর বৃহৎ ছাত্রীসংখ্যা, নগরভিত্তিক accessibility এবং honors-মাস্টার্সমুখী পরিবেশ এটিকে অত্যন্ত জনপ্রিয় করে তুলেছে। যারা একটি বড়, পরিচিত, ঐতিহাসিক এবং women-centered পাবলিক কলেজে পড়তে চায়, তাদের জন্য Eden Mohila College একটি অত্যন্ত শক্তিশালী ও মর্যাদাপূর্ণ বিকল্প।</t>
  </si>
  <si>
    <t>EMC</t>
  </si>
  <si>
    <t>Azimpur, Dhaka-1205</t>
  </si>
  <si>
    <t>info@emc.edu.bd</t>
  </si>
  <si>
    <t>www.emc.edu.bd</t>
  </si>
  <si>
    <t>DCU</t>
  </si>
  <si>
    <t>Kabi Nazrul Government College</t>
  </si>
  <si>
    <t>Kabi Nazrul Government College পুরান ঢাকার একটি ঐতিহ্যবাহী সরকারি কলেজ, যার শিকড় ১৮৭৪ সালের Dhaka Madrasa পর্যন্ত পৌঁছে এবং পরে ধাপে ধাপে এটি বর্তমান বহুমাত্রিক কলেজে রূপান্তরিত হয়। অফিসিয়াল সাইটে এর ইতিহাসে Mohsin Fund-সমর্থিত মাদ্রাসা প্রতিষ্ঠার কথা এবং পরবর্তীকালে সাধারণ উচ্চশিক্ষার দিকে রূপান্তরের ধারাবাহিকতা উল্লেখ আছে। এই প্রতিষ্ঠানটির বিশেষত্ব হলো—এখানে ইতিহাস, ঐতিহ্য, পুরান ঢাকার সাংস্কৃতিক বাস্তবতা এবং বর্তমানের সাধারণ কলেজশিক্ষা একসঙ্গে মিশেছে। নগর-কেন্দ্রিক অবস্থানের কারণে শিক্ষার্থীরা একদিকে ঐতিহাসিক শিক্ষা-ঐতিহ্যের অংশ হয়, অন্যদিকে আধুনিক উচ্চশিক্ষা ও সামাজিক-সাংস্কৃতিক কার্যক্রমে অংশ নিতে পারে। যারা পুরান ঢাকার ঐতিহ্যময় আবহে পড়াশোনা করতে চায় এবং একটি দীর্ঘ ইতিহাসবাহী সরকারি কলেজে নিজেদের গড়তে চায়, তাদের জন্য Kabi Nazrul Government College একটি গুরুত্বপূর্ণ পছন্দ।</t>
  </si>
  <si>
    <t>KNGC</t>
  </si>
  <si>
    <t>Laxmibazar, Dhaka-1100</t>
  </si>
  <si>
    <t>kngcdhaka@gmail.com</t>
  </si>
  <si>
    <t>www.kngc.edu.bd</t>
  </si>
  <si>
    <t>Government Titumir College</t>
  </si>
  <si>
    <t>Government Titumir College ঢাকার মহাখালী এলাকায় অবস্থিত একটি বৃহৎ সরকারি কলেজ, যা অফিসিয়াল সাইটের ভাষ্য অনুযায়ী শিক্ষার্থীসংখ্যার বিচারে দেশের অন্যতম বৃহৎ undergraduate ও postgraduate teaching institution। ওয়েবসাইটে admission, scholarship, syllabus, lecture access এবং student information service–এর ডিজিটাল ব্যবস্থার ওপর জোর দেওয়া হয়েছে, যা বড় ছাত্রসমাজকে দক্ষতার সঙ্গে পরিচালনার চেষ্টা নির্দেশ করে। মহাখালীর কেন্দ্রীয় অবস্থান, দীর্ঘদিনের পরিচিতি এবং বিস্তৃত ছাত্রসংখ্যা Government Titumir College-কে ঢাকার অন্যতম পরিচিত সাধারণ সরকারি কলেজে পরিণত করেছে। যারা বড় পরিসরের সরকারি কলেজে পড়ে রাজধানীকেন্দ্রিক সুযোগ, পরিচিতি এবং বহুমাত্রিক student network পেতে চায়, তাদের জন্য Government Titumir College একটি শক্তিশালী ও জনপ্রিয় নির্বাচন।</t>
  </si>
  <si>
    <t>GTC</t>
  </si>
  <si>
    <t>Bir Uttam AK Khandakar Road, Mohakhali, Dhaka-1212</t>
  </si>
  <si>
    <t>info@titumircollege.gov.bd</t>
  </si>
  <si>
    <t>www.titumircollege.gov.bd</t>
  </si>
  <si>
    <t>Government Shaheed Suhrawardy College</t>
  </si>
  <si>
    <t>Government Shaheed Suhrawardy College পুরান ঢাকার লাক্সমীবাজারে অবস্থিত একটি ঐতিহ্যবাহী সরকারি কলেজ, যার অফিসিয়াল সাইটে HSC-এর পাশাপাশি ১৭টি বিষয়ে honors-মasters শিক্ষার কথা উল্লেখ আছে। উপাধ্যক্ষ ও অধ্যক্ষের বার্তায় কলেজটির heritage character, পুরোনো লাল-ইটের স্থাপত্য, গ্রন্থাগার, অডিটোরিয়াম, বিতর্ক, science club, computer club, BNCC, rover scout, Red Crescent ও blood donation club-এর মতো সহশিক্ষা কাঠামোর উল্লেখ রয়েছে। পুরান ঢাকার ঐতিহ্যময় পরিবেশের মধ্যে দাঁড়িয়ে এই কলেজ একদিকে সাধারণ উচ্চশিক্ষা, অন্যদিকে সাংস্কৃতিক ও নাগরিক অংশগ্রহণের একটি ক্ষেত্র তৈরি করেছে। যারা heritage-rich urban public college experience চায় এবং একই সঙ্গে একাডেমিক ও সহশিক্ষা দুই দিকেই সক্রিয় হতে আগ্রহী, তাদের জন্য Government Shaheed Suhrawardy College একটি আকর্ষণীয় ও সম্মানজনক বিকল্প।</t>
  </si>
  <si>
    <t>GSSC</t>
  </si>
  <si>
    <t>gsscdhaka@gmail.com</t>
  </si>
  <si>
    <t>www.gssc.gov.bd</t>
  </si>
  <si>
    <t>Government Bangla College</t>
  </si>
  <si>
    <t>Government Bangla College ঢাকার মিরপুরে অবস্থিত একটি গুরুত্বপূর্ণ সরকারি কলেজ, যা অফিসিয়াল সাইটে ইতিহাস, বিভাগ, syllabus, class routine, publication, BNCC, Rover Scout, Red Crescent এবং co-curricular activity–এর সক্রিয় পরিসরসহ একটি পূর্ণাঙ্গ কলেজ হিসেবে উপস্থিত। নির্ভরযোগ্য উন্মুক্ত তথ্য অনুযায়ী এটি ১৯৬২ সালে বাংলা ভাষাকে উচ্চশিক্ষার মাধ্যম হিসেবে প্রতিষ্ঠিত করার আদর্শ নিয়ে গড়ে ওঠে, যা এর নাম ও পরিচয়ের সঙ্গে গভীরভাবে সম্পর্কিত। মিরপুরভিত্তিক অবস্থান, বৃহৎ ছাত্রসমাজ এবং একাডেমিক-সাংস্কৃতিক চর্চার কারণে এই কলেজ রাজধানীর উত্তর-পশ্চিমাংশে একটি পরিচিত শিক্ষাকেন্দ্র। যারা ভাষা-ঐতিহ্যসংযুক্ত পরিচয়, সরকারি কলেজ শিক্ষা এবং মিরপুরকেন্দ্রিক সুবিধাজনক অবস্থানকে গুরুত্ব দেয়, তাদের জন্য Government Bangla College একটি অর্থবহ নির্বাচন।</t>
  </si>
  <si>
    <t>GBC</t>
  </si>
  <si>
    <t>Mirpur-1, Dhaka-1216</t>
  </si>
  <si>
    <t>gbc.mirpur.dhaka@gmail.com</t>
  </si>
  <si>
    <t>www.gbc.edu.bd</t>
  </si>
  <si>
    <t>Begum Badrunnesa Government College</t>
  </si>
  <si>
    <t>Begum Badrunnesa Government College বা Begum Badrunnesa Government Girls’ College পুরান ঢাকার বকশীবাজারে অবস্থিত একটি ঐতিহ্যবাহী সরকারি মহিলা কলেজ, যার ইতিহাস ১৯৪৮ সালে intermediate college হিসেবে শুরু হয়ে পরে নিজস্ব পূর্ণাঙ্গ রূপ লাভ করে। নির্ভরযোগ্য উন্মুক্ত ও আংশিক সরকারি উৎসে honors ও masters program, BNCC, Rover Scout, Girls’ Guide, Red Crescent, debate club এবং cultural-literary activity–এর কথা উল্লেখ আছে, যা দেখায় যে কলেজটি নারীশিক্ষার পাশাপাশি নেতৃত্ব, সামাজিক অংশগ্রহণ ও আত্মবিশ্বাস গঠনের ক্ষেত্র হিসেবেও কাজ করে। এই কলেজের বিশেষ গুরুত্ব হলো—এটি ঢাকায় নারীশিক্ষার দীর্ঘ ঐতিহ্য বহন করে এবং বহু প্রজন্মের ছাত্রীকে উচ্চশিক্ষার সুযোগ দিয়েছে। যারা women-centered ঐতিহ্যবাহী সরকারি কলেজে পড়তে চায় এবং পুরান ঢাকার কেন্দ্রীয় অবস্থানের সুবিধা নিতে চায়, তাদের জন্য Begum Badrunnesa Government College একটি ঐতিহাসিক ও মূল্যবান পছন্দ।</t>
  </si>
  <si>
    <t>BBGGC</t>
  </si>
  <si>
    <t>7, Bakshi Bazar, Dhaka-1211</t>
  </si>
  <si>
    <t>bbggc.dhaka@gmail.com</t>
  </si>
  <si>
    <t>www.bbggc.gov.bd</t>
  </si>
  <si>
    <t xml:space="preserve">9.Specialized University </t>
  </si>
  <si>
    <t>Bangabandhu Maritime University</t>
  </si>
  <si>
    <t>Bangabandhu Maritime University নামে আপনি যে প্রতিষ্ঠানটির কথা বলেছেন, তার বর্তমান সরকারি নাম এখন Bangladesh Maritime University বা BMU; অফিসিয়াল সাইটে স্পষ্টভাবে বলা হয়েছে যে ২০১৩ সালের সংসদীয় আইনে প্রতিষ্ঠিত দেশের প্রথম maritime university–টি ২০২৫ সালের ১২ ফেব্রুয়ারি থেকে নতুন নামে পরিচিত। বিশ্ববিদ্যালয়টি maritime studies, ocean governance, shipping, port management, naval architecture, marine science, international maritime law এবং blue economy–সংশ্লিষ্ট উচ্চশিক্ষা ও গবেষণার জন্য বাংলাদেশের কেন্দ্রীয় প্রতিষ্ঠানগুলোর একটি। এটি ঐতিহ্যগত সাধারণ বিশ্ববিদ্যালয়ের মতো নয়; বরং সমুদ্র-অর্থনীতি ও maritime nation-building–এর জন্য বিশেষায়িত academic platform। যারা shipping, marine affairs, ocean policy, naval architecture বা blue economy–ভিত্তিক ভবিষ্যৎ গড়তে চায়, তাদের জন্য Bangladesh Maritime University অত্যন্ত কৌশলগত ও স্বতন্ত্র একটি পছন্দ।</t>
  </si>
  <si>
    <t>BSMRMU</t>
  </si>
  <si>
    <t>Pallabi, Dhaka-1216</t>
  </si>
  <si>
    <t>registrar@bsmrmu.edu.bd</t>
  </si>
  <si>
    <t>https://bsmrmu.edu.bd</t>
  </si>
  <si>
    <t>https://admission.bsmrmu.edu.bd</t>
  </si>
  <si>
    <t>Bangladesh Oceanographic Research Institute</t>
  </si>
  <si>
    <t>Bangladesh Oceanographic Research Institute বা BORI কক্সবাজারভিত্তিক একটি সরকারি গবেষণা প্রতিষ্ঠান, যা সমুদ্রবিজ্ঞান, সামুদ্রিক সম্পদ, উপকূলীয় পরিবেশ, ocean observation এবং marine policy research–এর জন্য প্রতিষ্ঠিত। অফিসিয়াল সাইটে বর্তমান মহাপরিচালকের বার্তা এবং oceanographic research advancement–এ নেতৃত্বের কথা উল্লেখ আছে, আর উন্মুক্ত তথ্য অনুযায়ী এটি ২০১৫ সালের আইনি কাঠামোর পর গড়ে ওঠা সমুদ্রবিজ্ঞানকেন্দ্রিক জাতীয় গবেষণা প্রতিষ্ঠান। এটি বিশ্ববিদ্যালয় নয়; বরং বাংলাদেশের marine science capacity building, marine data generation এবং blue economy–সংক্রান্ত জ্ঞানভিত্তি শক্তিশালী করার জন্য একটি কৌশলগত গবেষণা সংস্থা। যারা সমুদ্রবিজ্ঞান, ocean policy বা marine research ecosystem সম্পর্কে আগ্রহী, তাদের জন্য BORI বাংলাদেশের সামুদ্রিক গবেষণার একটি কেন্দ্রীয় নাম।</t>
  </si>
  <si>
    <t>BORI</t>
  </si>
  <si>
    <t>Cox's Bazar</t>
  </si>
  <si>
    <t>info@bori.gov.bd</t>
  </si>
  <si>
    <t>bori.gov.bd</t>
  </si>
  <si>
    <t xml:space="preserve">Specialized University </t>
  </si>
  <si>
    <t>BSMR Aviation and Aerospace University</t>
  </si>
  <si>
    <t>BSMR Aviation and Aerospace University নামে পরিচিত প্রতিষ্ঠানটির বর্তমান সরকারি নাম এখন Aviation and Aerospace University, Bangladesh বা AAUB; অফিসিয়াল সাইটে এর mission, vision এবং aviation, space and technological studies–এ world-class education প্রদানের লক্ষ্য স্পষ্টভাবে উল্লেখ আছে। এটি বাংলাদেশের প্রথম higher educational institution dedicated to aerospace engineering and aviation studies হিসেবে পরিচিত, এবং এর ফোকাস traditional broad-based university education নয়; বরং aviation, aerospace, technology, flight-related studies এবং সংশ্লিষ্ট পেশাগত দক্ষতা গড়ে তোলা। যারা aeronautics, aerospace systems, aviation management বা space-oriented technological education নিতে চায়, তাদের জন্য AAUB একটি অত্যন্ত বিশেষায়িত ও ভবিষ্যতমুখী প্রতিষ্ঠান।</t>
  </si>
  <si>
    <t>BSMRAAU</t>
  </si>
  <si>
    <t>Lalmonirhat &amp; Dhaka</t>
  </si>
  <si>
    <t>admission@aaub.edu.bd</t>
  </si>
  <si>
    <t>https://aaub.edu.bd</t>
  </si>
  <si>
    <t>http://aaub.teletalk.com.bd</t>
  </si>
  <si>
    <t>Tejgaon, Dhaka-1215</t>
  </si>
  <si>
    <t>registrar@bsmraau.edu.bd</t>
  </si>
  <si>
    <t>https://bsmraau.edu.bd</t>
  </si>
  <si>
    <t>https://admission.bsmraau.edu.bd</t>
  </si>
  <si>
    <t>Islamic Arabic University</t>
  </si>
  <si>
    <t>Islamic Arabic University বা IAU বাংলাদেশের একটি বিশেষায়িত সরকারি বিশ্ববিদ্যালয়, যা মূলত ফাজিল, কামিল এবং আরবি-মাদ্রাসাভিত্তিক উচ্চশিক্ষা ব্যবস্থার একাডেমিক তত্ত্বাবধান, পরীক্ষা, সনদ প্রদান এবং নীতিগত সমন্বয়ের কাজ করে। অফিসিয়াল সাইটে ২০২৬ সালেরও ভর্তি, পরীক্ষা, ফলাফল, সনদ বিতরণ, নীতিমালা ও প্রশাসনিক বিজ্ঞপ্তি নিয়মিত প্রকাশিত হচ্ছে, যা এর institutional activity-র ব্যাপ্তি স্পষ্ট করে। IAU-এর বিশেষ শক্তি হলো—এটি traditional Arabic-Islamic scholarship-কে একটি formal university framework-এর অধীনে সংগঠিত করেছে। যারা ফাজিল-কামিল ধারার উচ্চশিক্ষা, আরবি ভাষা, ইসলামি জ্ঞানচর্চা এবং সংশ্লিষ্ট একাডেমিক ব্যবস্থাকে গুরুত্ব দেয়, তাদের কাছে Islamic Arabic University একটি অত্যন্ত তাৎপর্যপূর্ণ এবং কেন্দ্রীয় প্রতিষ্ঠান।</t>
  </si>
  <si>
    <t>IAU</t>
  </si>
  <si>
    <t>Mohammadpur, Dhaka</t>
  </si>
  <si>
    <t>iauregistr@gmail.com</t>
  </si>
  <si>
    <t>iau.edu.bd</t>
  </si>
  <si>
    <t>Narayanganj Marine Institute</t>
  </si>
  <si>
    <t>Narayanganj Marine Institute নামে আপনি যে প্রতিষ্ঠানের কথা বলেছেন, বর্তমান সরকারি উন্মুক্ত উৎস অনুযায়ী নারায়ণগঞ্জে এই বর্ণনার সঙ্গে সবচেয়ে ঘনিষ্ঠ সরকারি প্রতিষ্ঠান হলো Bangladesh Institute of Marine Technology বা BIMT। অফিসিয়াল সরকারি সাইট এবং নির্ভরযোগ্য উন্মুক্ত তথ্য অনুযায়ী এটি ১৯৫৮ সালে প্রতিষ্ঠিত, পরে Marine Diesel Training Center নাম অতিক্রম করে বর্তমান রূপ লাভ করে, এবং Narayanganj জেলার শীতলক্ষ্যা নদীর পূর্বতীরে অবস্থিত। BIMT marine technology, shipbuilding technology এবং engineering diploma-based marine training–এর জন্য দেশের অগ্রগণ্য প্রতিষ্ঠান। তাই “Narayanganj Marine Institute” কথাটি ব্যবহারিক অর্থে প্রায়ই এ প্রতিষ্ঠানকেই নির্দেশ করতে পারে। যারা marine engineering, shipbuilding, marine technical training এবং river-port-maritime sector–ভিত্তিক পেশা গড়তে চায়, তাদের জন্য এই Narayanganj-based marine institution অত্যন্ত প্রাসঙ্গিক।</t>
  </si>
  <si>
    <t>NMI-N</t>
  </si>
  <si>
    <t>Narayanganj</t>
  </si>
  <si>
    <t>info@nmi.gov.bd</t>
  </si>
  <si>
    <t>nmi.gov.bd</t>
  </si>
  <si>
    <t>Sylhet Medical University</t>
  </si>
  <si>
    <t>Sylhet Medical University সিলেট বিভাগের চিকিৎসা, দন্তচিকিৎসা, নার্সিং ও allied health institution-গুলোর একাডেমিক তত্ত্বাবধান ও সমন্বয়ের জন্য প্রতিষ্ঠিত একটি সরকারি মেডিকেল বিশ্ববিদ্যালয়। অফিসিয়াল সাইটে ২০২৫ সালে ৮০ একর জমি হস্তান্তর, নিয়োগ বিজ্ঞপ্তি, BDS examination routine এবং বিভিন্ন administrative notice প্রকাশিত হয়েছে, যা বিশ্ববিদ্যালয়টির ক্রমবর্ধমান প্রাতিষ্ঠানিক উপস্থিতিকে নির্দেশ করে। নির্ভরযোগ্য উন্মুক্ত তথ্য অনুযায়ী এটি ২০১৮ সালে প্রতিষ্ঠিত এবং Sylhet Division-এর medical colleges-গুলোর supervision-এর জন্য গুরুত্বপূর্ণ ভূমিকা রাখে। এটি কোনো সাধারণ undergraduate campus university-এর চেয়ে বেশি academic-governance-oriented medical university। যারা সিলেট অঞ্চলের চিকিৎসাশিক্ষা ব্যবস্থার বৃহত্তর কাঠামো, affiliation framework এবং postgraduate medical governance বুঝতে চায়, তাদের জন্য Sylhet Medical University একটি কেন্দ্রীয় নাম।</t>
  </si>
  <si>
    <t>SMU</t>
  </si>
  <si>
    <t>Sylhet</t>
  </si>
  <si>
    <t>info@smu.edu.bd</t>
  </si>
  <si>
    <t>smu.edu.bd</t>
  </si>
  <si>
    <t>10.Affiliate College</t>
  </si>
  <si>
    <t>Sheikh Rehana Textile Engineering College</t>
  </si>
  <si>
    <t>Sheikh Rehana Textile Engineering College নামে যে প্রতিষ্ঠানটির কথা বলা হয়েছে, উন্মুক্ত ওয়েব-তথ্যে এর সরকারি অফিসিয়াল ওয়েবসাইট স্পষ্টভাবে সহজলভ্য না হলেও Bangladesh University of Textiles-এর affiliated college structure এবং Gopalganj Textile Engineering College-এর সরকারি সাইট থেকে বোঝা যায় যে গোপালগঞ্জে একটি সরকার-সমর্থিত textile engineering college BSc in Textile Engineering program পরিচালনা করছে। সরকারি GTEC সাইটে ৪ বছর মেয়াদি BSc in Textile Engineering, lab class, industrial visit, workshop, seminar এবং training program-এর উল্লেখ রয়েছে, যা এটিকে একটি applied, industry-linked textile engineering institution হিসেবে চিহ্নিত করে। ফলে Sheikh Rehana Textile Engineering College নামে প্রচলিত উল্লেখটি বাস্তবে Gopalganj Textile Engineering College-সংশ্লিষ্ট সরকারি টেক্সটাইল প্রকৌশল শিক্ষাকে নির্দেশ করছে বলে মনে হয়। যারা textile engineering, industrial training এবং BUTEX-linked academic pathway-এ আগ্রহী, তাদের জন্য এটি একটি গুরুত্বপূর্ণ আঞ্চলিক বিকল্প।</t>
  </si>
  <si>
    <t>SRTEC</t>
  </si>
  <si>
    <t>Gopalganj</t>
  </si>
  <si>
    <t>srtec@dot.gov.bd</t>
  </si>
  <si>
    <t>https://srtec.gov.bd</t>
  </si>
  <si>
    <t>dot.teletalk.com.bd</t>
  </si>
  <si>
    <t>Sheikh Kamal Textile Engineering College</t>
  </si>
  <si>
    <t>Sheikh Kamal Textile Engineering College নামে পরিচিত প্রতিষ্ঠানের বর্তমান সরকারি ওয়েব উপস্থিতি Jhenaidah Textile Engineering College নামে বেশি স্পষ্ট, এবং সরকারি সাইটে “ঝিনাইদহ টেক্সটাইল ইঞ্জিনিয়ারিং কলেজ” হিসেবে ২০২৫–২৬ শিক্ষাবর্ষের BSc in Textile Engineering ভর্তি বিজ্ঞপ্তি ও অন্যান্য প্রশাসনিক তথ্য দেখা যায়। নির্ভরযোগ্য উন্মুক্ত তথ্যসূত্রে এটিকে Jhenaidah Textile Engineering College হিসেবে বর্ণনা করা হয়েছে এবং former name হিসেবে Sheikh Kamal Textile Engineering College উল্লেখ আছে। অর্থাৎ আপনার দেওয়া নামটি এখন কার্যত Jhenaidah Textile Engineering College নামেই বেশি পরিচিত। যারা textile manufacturing, fiber, fabric, apparel technology এবং BUTEX-affiliated engineering education নিতে চায়, তাদের জন্য এই প্রতিষ্ঠানটি দক্ষিণ-পশ্চিমাঞ্চলে একটি গুরুত্বপূর্ণ specialized engineering option।</t>
  </si>
  <si>
    <t>SKTEC</t>
  </si>
  <si>
    <t>Jhenaidah</t>
  </si>
  <si>
    <t>sktecj@gmail.com</t>
  </si>
  <si>
    <t>https://sktec.gov.bd</t>
  </si>
  <si>
    <t>Affiliate College</t>
  </si>
  <si>
    <t>Shahid Abdur Rab Serniabat Textile Engi. College</t>
  </si>
  <si>
    <t>Shahid Abdur Rab Serniabat Textile Engineering College বরিশালভিত্তিক একটি পাবলিক textile engineering college, যা নির্ভরযোগ্য উন্মুক্ত তথ্য অনুযায়ী ২০১০ সালে Barisal Textile Institute থেকে BSc-level textile engineering college-এ উন্নীত হয়ে বর্তমান নাম গ্রহণ করে। যদিও এর সুস্পষ্ট সরকারি পূর্ণাঙ্গ ওয়েবসাইট সার্চে কম দৃশ্যমান, textile directory ও সংশ্লিষ্ট উন্মুক্ত তথ্যসূত্রে এটিকে public textile engineering college, Ministry of Textiles and Jute-সম্পর্কিত কাঠামো এবং BUTEX-affiliated ব্যবস্থার অংশ হিসেবে চিহ্নিত করা হয়েছে। এই ধরনের কলেজগুলোর মূল শক্তি হলো industry-oriented curriculum, textile lab, industrial exposure এবং practical engineering focus। যারা বরিশাল অঞ্চলে থেকে textile engineering-এ বিশেষায়িত উচ্চশিক্ষা নিতে চায় এবং garment-textile sector–কেন্দ্রিক ক্যারিয়ার গড়তে আগ্রহী, তাদের জন্য Shahid Abdur Rab Serniabat Textile Engineering College একটি গুরুত্বপূর্ণ বিকল্প</t>
  </si>
  <si>
    <t>SARSTEC</t>
  </si>
  <si>
    <t>Barishal</t>
  </si>
  <si>
    <t>sarstec@yahoo.com</t>
  </si>
  <si>
    <t>https://sarstec.ac.bd</t>
  </si>
  <si>
    <t>Rangpur Textile Engineering College</t>
  </si>
  <si>
    <t>Rangpur Textile Engineering College উত্তরবঙ্গে টেক্সটাইলভিত্তিক উচ্চশিক্ষার একটি গুরুত্বপূর্ণ সরকারি প্রতিষ্ঠান, যা রংপুর জেলার পীরগঞ্জে অবস্থিত এবং বাংলাদেশ ইউনিভার্সিটি অব টেক্সটাইলসের অধিভুক্ত। এই কলেজে চার বছর মেয়াদি বি.এসসি ইন টেক্সটাইল ইঞ্জিনিয়ারিং প্রোগ্রাম পরিচালিত হয়, যেখানে সুতা প্রযুক্তি, ফেব্রিক বা বস্ত্র গঠন, ওয়েট প্রসেস এবং অ্যাপারেল প্রযুক্তির মতো মূলধারার টেক্সটাইল বিষয়সমূহ পড়ানো হয়। বাংলাদেশের অর্থনীতিতে পোশাক ও বস্ত্রশিল্পের যে বিশাল অবদান, সেই শিল্পখাতের জন্য দক্ষ প্রকৌশলী গড়ে তোলাই এ প্রতিষ্ঠানের প্রধান লক্ষ্য। রংপুর অঞ্চলের শিক্ষার্থীদের জন্য এ কলেজের বিশেষ গুরুত্ব হলো, আগে বিশেষায়িত টেক্সটাইল প্রকৌশল শিক্ষার জন্য ঢাকামুখী হওয়ার যে প্রবণতা ছিল, এখন তা অনেকাংশে কমেছে। এখানে পড়াশোনা করলে একজন শিক্ষার্থী শুধু পাঠ্যপুস্তকভিত্তিক জ্ঞানই অর্জন করে না, বরং উৎপাদন ব্যবস্থাপনা, মাননিয়ন্ত্রণ, কারখানা-সংক্রান্ত বাস্তব সমস্যা, শিল্প-প্রক্রিয়া, ডাইং ও ফিনিশিং, গার্মেন্টস উৎপাদন এবং শিল্পপ্রতিষ্ঠানের কারিগরি কাঠামো সম্পর্কেও ব্যবহারিক ধারণা লাভ করতে পারে। সরকারি কাঠামোর আওতায় পরিচালিত হওয়ায় এর একাডেমিক পরিবেশ তুলনামূলকভাবে সুশৃঙ্খল, আর বিশ্ববিদ্যালয়-অধিভুক্ত হওয়ায় পাঠ্যক্রমও জাতীয় শিল্পচাহিদার সঙ্গে সামঞ্জস্যপূর্ণ। টেক্সটাইল খাতে বাংলাদেশের দীর্ঘমেয়াদি সম্ভাবনা বিবেচনায় এই কলেজে অধ্যয়ন একজন শিক্ষার্থীর জন্য অত্যন্ত লাভজনক হতে পারে, কারণ এখান থেকে উত্তীর্ণরা স্পিনিং, উইভিং, নিটিং, ডাইং, অ্যাপারেল, মার্চেন্ডাইজিং, কোয়ালিটি অ্যাস্যুরেন্স, টেক্সটাইল টেস্টিং এবং শিল্প ব্যবস্থাপনার মতো বহু ক্ষেত্রে কাজের সুযোগ পায়। একজন শিক্ষার্থীর দৃষ্টিতে এই প্রতিষ্ঠানটির সবচেয়ে বড় শক্তি হলো এর বিষয়ভিত্তিক বিশেষায়ন, শিল্পখাতের সঙ্গে সরাসরি সম্পর্ক, সরকারি পরিচয় এবং উত্তরবঙ্গে থেকে একটি সম্ভাবনাময় পেশাগত শিক্ষা অর্জনের সুযোগ। যারা টেক্সটাইল ও গার্মেন্টস শিল্পে ভবিষ্যৎ ক্যারিয়ার গড়তে চায়, তাদের জন্য Rangpur Textile Engineering College একটি সুনির্দিষ্ট, কর্মমুখী এবং দূরদর্শী শিক্ষাপ্রতিষ্ঠান।</t>
  </si>
  <si>
    <t>RTEC</t>
  </si>
  <si>
    <t>Pirganj, Rangpur</t>
  </si>
  <si>
    <t>rtec.rangpur@gmail.com</t>
  </si>
  <si>
    <t>https://rtec.rangpur.gov.bd</t>
  </si>
  <si>
    <t>dot.gov.bd</t>
  </si>
  <si>
    <t>Rangpur Engineering College</t>
  </si>
  <si>
    <t>Rangpur Engineering College রংপুর বিভাগের একটি উল্লেখযোগ্য প্রকৌশল শিক্ষা প্রতিষ্ঠান, যা ২০১৪ সালে প্রতিষ্ঠিত হয় এবং ইউনিভার্সিটি অব রাজশাহীর অধিভুক্ত প্রথম বেসরকারি ইঞ্জিনিয়ারিং কলেজ হিসেবে পরিচিত। এটি এমন শিক্ষার্থীদের জন্য বিশেষভাবে গুরুত্বপূর্ণ, যারা ঢাকার বাইরে থেকে মানসম্মত প্রকৌশল শিক্ষা নিতে চায় কিন্তু নিজেদের অঞ্চলেই থেকে পড়াশোনার সুযোগ খোঁজে। কলেজটির একাডেমিক কাঠামোতে সিভিল ইঞ্জিনিয়ারিং, ইলেকট্রিক্যাল অ্যান্ড ইলেকট্রনিক ইঞ্জিনিয়ারিং, ইনফরমেশন অ্যান্ড কমিউনিকেশন ইঞ্জিনিয়ারিং, কম্পিউটার সায়েন্স অ্যান্ড ইঞ্জিনিয়ারিং এবং শিল্প-ব্যবস্থাপনাভিত্তিক প্রকৌশল বিষয়ে শিক্ষা দেওয়া হয়। আধুনিক প্রকৌশল শিক্ষার যে অপরিহার্য উপাদান—ল্যাবরেটরি, ব্যবহারিক ক্লাস, প্রজেক্ট, উপস্থাপনা, প্রযুক্তিনির্ভর ক্লাব, প্রতিযোগিতা এবং সমস্যা-সমাধানভিত্তিক অনুশীলন—এই কলেজ তা ধাপে ধাপে গড়ে তুলেছে। একজন শিক্ষার্থীর জন্য এই প্রতিষ্ঠানে পড়ার মূল্য এখানেই যে, এটি কেবল ডিগ্রি অর্জনের জায়গা নয়; বরং বাস্তব প্রযুক্তি-সমস্যা বোঝা, দলগত কাজ শেখা, প্রকল্প নির্মাণে অংশ নেওয়া এবং ভবিষ্যৎ কর্মজীবনের জন্য নিজেকে প্রস্তুত করার একটি প্রশিক্ষণক্ষেত্র। রংপুরের মতো উদীয়মান অঞ্চলে একটি প্রকৌশল কলেজের উপস্থিতি স্থানীয় শিল্প, অবকাঠামো, বিদ্যুৎব্যবস্থা, তথ্যপ্রযুক্তি সেবা এবং আঞ্চলিক উন্নয়নের সঙ্গেও সম্পর্কিত। প্রতিষ্ঠানটি তুলনামূলক নতুন হলেও এর ক্যাম্পাসে একাডেমিক ব্লক, ল্যাবরেটরি সুবিধা, শিক্ষার্থী সংগঠন এবং সহশিক্ষা কার্যক্রমের উপস্থিতি শিক্ষার্থীদের জন্য একটি গতিশীল পরিবেশ তৈরি করে। যারা বড় শহরের বাইরে থেকেও প্রকৌশল শিক্ষায় এগিয়ে যেতে চায়, তাদের জন্য Rangpur Engineering College একটি বাস্তবসম্মত বিকল্প, কারণ এখানে আঞ্চলিক সুবিধা, বিশ্ববিদ্যালয়-সংযুক্ত ডিগ্রি, বিষয়ের বৈচিত্র্য এবং প্রযুক্তিনির্ভর পেশাগত প্রস্তুতির সমন্বয় রয়েছে। যে শিক্ষার্থী ভবিষ্যতে সরকারি-বেসরকারি প্রকৌশল খাত, আইটি শিল্প, অবকাঠামো উন্নয়ন, টেলিকম, নির্মাণ কিংবা শিল্প ব্যবস্থাপনায় ক্যারিয়ার গড়তে চায়, তার জন্য এ কলেজ একটি কার্যকর ভিত্তি তৈরি করতে পারে।</t>
  </si>
  <si>
    <t>REC</t>
  </si>
  <si>
    <t>Rangpur</t>
  </si>
  <si>
    <t>info@rec.ac.bd</t>
  </si>
  <si>
    <t>rec.ac.bd</t>
  </si>
  <si>
    <t>admission.ru.ac.bd</t>
  </si>
  <si>
    <t>Rajshahi Institute of Biosciences</t>
  </si>
  <si>
    <t>Rajshahi Institute of Biosciences মূলত জীববিজ্ঞানভিত্তিক উচ্চশিক্ষা ও গবেষণার একটি একাডেমিক পরিচয়, যা রাজশাহী বিশ্ববিদ্যালয়ের জীববিজ্ঞান অনুষদ ও সংশ্লিষ্ট ইনস্টিটিউটের গবেষণামুখী পরিবেশের সঙ্গে ঘনিষ্ঠভাবে সম্পর্কিত। জীববিজ্ঞান, অণুজীববিজ্ঞান, বায়োকেমিস্ট্রি, জেনেটিক্স, উদ্ভিদবিজ্ঞান, প্রাণিবিজ্ঞান, পরিবেশজীববিদ্যা, শারীরবৃত্তীয় বিজ্ঞান এবং জীবপ্রযুক্তির মতো বিষয়গুলো আজকের বিশ্বে স্বাস্থ্য, কৃষি, পরিবেশ, খাদ্যনিরাপত্তা এবং নতুন প্রযুক্তিনির্ভর গবেষণার কেন্দ্রে অবস্থান করছে। এই প্রেক্ষাপটে Rajshahi Institute of Biosciences-ধর্মী শিক্ষাব্যবস্থার সবচেয়ে বড় মূল্য হলো এটি শিক্ষার্থীদের শুধুমাত্র তাত্ত্বিক জ্ঞান না দিয়ে গবেষণা-প্রস্তুত মানসিকতা গড়ে তুলতে সাহায্য করে। রাজশাহী বিশ্ববিদ্যালয়ের বৃহত্তর একাডেমিক কাঠামোর সঙ্গে যুক্ত থাকায় এখানে ল্যাবভিত্তিক প্রশিক্ষণ, সুপারভাইজড গবেষণা, উচ্চতর ডিগ্রির প্রস্তুতি এবং বিজ্ঞানভিত্তিক বিশ্লেষণধর্মী শিক্ষা পাওয়ার বাস্তব সম্ভাবনা রয়েছে। যারা জীববিজ্ঞানকে শুধুমাত্র একটি পাঠ্যবিষয় হিসেবে নয়, বরং ভবিষ্যতের পেশা, গবেষণা, স্বাস্থ্যবিজ্ঞান, বায়োটেকনোলজি, শিক্ষা বা আন্তর্জাতিক উচ্চশিক্ষার পথ হিসেবে দেখতে চায়, তাদের জন্য এ ধরনের bioscience-কেন্দ্রিক পরিবেশ বিশেষভাবে উপযোগী। একজন শিক্ষার্থীর জন্য এ ধরনের প্রতিষ্ঠানের আকর্ষণ হলো—এখানে পর্যবেক্ষণ, পরীক্ষা-নিরীক্ষা, তথ্য বিশ্লেষণ, থিসিসভিত্তিক কাজ এবং বৈজ্ঞানিক কৌতূহলকে গুরুত্ব দেওয়া হয়। জীববিজ্ঞানভিত্তিক উচ্চশিক্ষা আজ আর কেবল শিক্ষকতা বা প্রচলিত গবেষণায় সীমাবদ্ধ নয়; বায়োটেক, ফার্মা, ডায়াগনস্টিক ল্যাব, পরিবেশ বিশ্লেষণ, খাদ্য ও কৃষি উদ্ভাবন, জনস্বাস্থ্য এবং আন্তর্জাতিক গবেষণার ক্ষেত্রেও এর চাহিদা দ্রুত বাড়ছে। ফলে Rajshahi Institute of Biosciences-কে এমন এক একাডেমিক সত্তা হিসেবে দেখা যায়, যা জীবনবিজ্ঞানমুখী জ্ঞান, গবেষণা ও পেশাগত সম্ভাবনার মধ্যে একটি সুস্পষ্ট সেতুবন্ধন তৈরি করে। যারা বিজ্ঞানের গভীরতর চর্চা, গবেষণামুখী উচ্চশিক্ষা এবং জীববিজ্ঞানভিত্তিক ভবিষ্যৎ গড়তে আগ্রহী, তাদের জন্য এটি অত্যন্ত তাৎপর্যপূর্ণ একটি একাডেমিক পরিসর।</t>
  </si>
  <si>
    <t>RIBS</t>
  </si>
  <si>
    <t>Rajshahi</t>
  </si>
  <si>
    <t>info@ribs.ac.bd</t>
  </si>
  <si>
    <t>ribs.ac.bd</t>
  </si>
  <si>
    <t>Pabna Textile Engineering College</t>
  </si>
  <si>
    <t>Pabna Textile Engineering College দেশের অন্যতম ঐতিহ্যবাহী টেক্সটাইল শিক্ষা প্রতিষ্ঠান, যার ইতিহাস ১৯১৫ সালের weaving school পর্যন্ত প্রসারিত। এই দীর্ঘ ঐতিহাসিক যাত্রা প্রতিষ্ঠানটিকে বাংলাদেশের টেক্সটাইল শিক্ষার বিকাশের সঙ্গে সরাসরি যুক্ত করেছে। বর্তমানে এটি একটি সরকারি টেক্সটাইল প্রকৌশল কলেজ হিসেবে বাংলাদেশ ইউনিভার্সিটি অব টেক্সটাইলসের অধিভুক্ত অবস্থায় বি.এসসি ইন টেক্সটাইল ইঞ্জিনিয়ারিং ডিগ্রি প্রদান করে। এর বিশেষ শক্তি হলো—এখানে ঐতিহ্য ও আধুনিক শিল্পচাহিদা একসঙ্গে মিলেছে। পুরোনো প্রতিষ্ঠান হিসেবে এর পরিচিতি, শিক্ষক-শিক্ষার্থী ধারাবাহিকতা, আঞ্চলিক গ্রহণযোগ্যতা এবং টেক্সটাইল শিক্ষায় দীর্ঘ অভিজ্ঞতা একে স্বতন্ত্র মর্যাদা দিয়েছে। টেক্সটাইল শিল্প বাংলাদেশের অর্থনীতির প্রাণকেন্দ্র হওয়ায় এ কলেজে পড়া মানে কেবল একটি ডিগ্রি অর্জন নয়; বরং এমন একটি পেশাগত পথে প্রবেশ করা, যার সঙ্গে দেশের রপ্তানি, কর্মসংস্থান এবং শিল্পোন্নয়নের গভীর সম্পর্ক রয়েছে। কলেজটির একাডেমিক পরিবেশ এমনভাবে গড়ে উঠেছে যাতে শিক্ষার্থীরা উৎপাদন, ফাইবার, ফ্যাব্রিক, প্রসেসিং, গার্মেন্টস, ফিনিশিং, টেস্টিং এবং শিল্প ব্যবস্থাপনার ধাপগুলো সম্পর্কে বাস্তবমুখী জ্ঞান অর্জন করতে পারে। একজন শিক্ষার্থীর জন্য এটি বিশেষভাবে আকর্ষণীয় কারণ এখানে textile engineering-এর পাঠ শুধু লেকচারকেন্দ্রিক নয়; বরং শিল্প-সম্পর্কিত মানসিকতা, প্রযুক্তিগত দক্ষতা এবং কারখানা-উপযোগী জ্ঞান তৈরির দিকেও জোর দেওয়া হয়। পাবনায় অবস্থান করার কারণে এটি স্থানীয় ও পার্শ্ববর্তী জেলার শিক্ষার্থীদের জন্য সাশ্রয়ী এবং তুলনামূলকভাবে সহজলভ্য উচ্চশিক্ষার সুযোগ তৈরি করে। যারা দেশের apparel, textile manufacturing, dyeing, quality assurance, merchandising, production management, testing laboratory কিংবা textile research sector-এ কাজ করতে চায়, তাদের জন্য এই কলেজ একটি শক্ত ভিত তৈরি করতে পারে। সরকারি মর্যাদা, ঐতিহাসিক পটভূমি, BUTEX affiliation এবং শিল্প-সংযোগ—এই চারটি কারণে Pabna Textile Engineering College বাংলাদেশের specialized textile education-এর ক্ষেত্রে অত্যন্ত গুরুত্বপূর্ণ ও সম্মানজনক একটি নাম।</t>
  </si>
  <si>
    <t>PTEC</t>
  </si>
  <si>
    <t>Shalgaria, Pabna</t>
  </si>
  <si>
    <t>ptec_pab@yahoo.com</t>
  </si>
  <si>
    <t>https://ptec.pabna.gov.bd</t>
  </si>
  <si>
    <t>Pabna Engineering College</t>
  </si>
  <si>
    <t>Pabna Engineering College সম্পর্কে প্রকাশ্য অফিসিয়াল তথ্য তুলনামূলকভাবে সীমিত হলেও রাজশাহী বিশ্ববিদ্যালয়ের অধিভুক্ত শিক্ষা প্রতিষ্ঠানের তালিকায় এটির উপস্থিতি প্রমাণ করে যে এটি পাবনা অঞ্চলে প্রকৌশল শিক্ষার একটি আনুষ্ঠানিক একাডেমিক বিকল্প। একটি আঞ্চলিক প্রকৌশল কলেজ হিসেবে এর মূল গুরুত্ব হলো—এটি এমন শিক্ষার্থীদের জন্য সুযোগ তৈরি করে, যারা নিজ অঞ্চলের কাছাকাছি থেকে প্রকৌশল শিক্ষা নিতে চায় এবং একই সঙ্গে একটি বিশ্ববিদ্যালয়-সংযুক্ত একাডেমিক কাঠামোর মধ্যে থাকতে আগ্রহী। প্রকৌশল শিক্ষা কেবল শ্রেণিকক্ষের পাঠ নয়; এর মধ্যে রয়েছে বিশ্লেষণ ক্ষমতা, গণিত ও বিজ্ঞানের প্রয়োগ, ব্যবহারিক সমস্যা সমাধান, দলগত কাজ, ল্যাবভিত্তিক প্রশিক্ষণ, প্রকল্পনির্ভর শেখা এবং প্রযুক্তিগত দায়িত্ববোধ। সেই দৃষ্টিকোণ থেকে Pabna Engineering College-কে একটি সম্ভাবনাময় regional engineering platform হিসেবে দেখা যায়। পাবনার মতো জেলায় শিল্প, অবকাঠামো, প্রযুক্তি, নির্মাণ, সড়কব্যবস্থা, বিদ্যুৎ, তথ্যপ্রযুক্তি এবং ক্ষুদ্র-মাঝারি শিল্পের বিকাশের জন্য প্রকৌশল শিক্ষার ভূমিকা ক্রমেই গুরুত্বপূর্ণ হয়ে উঠছে। এমন প্রেক্ষাপটে একটি স্থানীয় engineering college আঞ্চলিক দক্ষ মানবসম্পদ তৈরিতে বড় ভূমিকা রাখতে পারে। একজন শিক্ষার্থীর জন্য এ ধরনের প্রতিষ্ঠানে পড়ার সুবিধা হলো—বড় শহরে স্থানান্তরের চাপ তুলনামূলক কম, পারিবারিক ও আর্থিক বাস্তবতা সামলে উচ্চশিক্ষা গ্রহণ করা সহজ হতে পারে, এবং ছোট বা মধ্যম আকারের প্রতিষ্ঠানে অনেক সময় শিক্ষক-শিক্ষার্থী সম্পর্কও বেশি ঘনিষ্ঠ হয়। তবে যেহেতু এই প্রতিষ্ঠানের বিস্তৃত অবকাঠামো, বিভাগের পরিধি, ল্যাব সুবিধা, নিয়মিত একাডেমিক তথ্য এবং প্রশাসনিক স্বচ্ছতা প্রকাশ্য ওয়েবে সীমিত, তাই এটিকে চূড়ান্তভাবে বেছে নেওয়ার আগে শিক্ষার্থীদের উচিত বর্তমান বিভাগসমূহ, শিক্ষকসংখ্যা, স্বীকৃতি, পরীক্ষাপদ্ধতি, ল্যাব সুবিধা ও সেশনজটের অবস্থা সরাসরি যাচাই করা। তবুও, রাজশাহী বিশ্ববিদ্যালয়ের অধিভুক্ত একটি engineering option হিসেবে Pabna Engineering College পাবনা অঞ্চলে প্রকৌশল শিক্ষার প্রসারে একটি তাৎপর্যপূর্ণ ভূমিকা রাখছে এবং স্থানীয় পর্যায়ে প্রযুক্তিনির্ভর ভবিষ্যৎ গড়তে আগ্রহী শিক্ষার্থীদের জন্য এটি একটি বিবেচনাযোগ্য একাডেমিক পথ।</t>
  </si>
  <si>
    <t>PEC</t>
  </si>
  <si>
    <t>Pabna</t>
  </si>
  <si>
    <t>info@pec.ac.bd</t>
  </si>
  <si>
    <t>pec.ac.bd</t>
  </si>
  <si>
    <t>Noakhali Textile Engineering College</t>
  </si>
  <si>
    <t>Noakhali Textile Engineering College নোয়াখালীর বেগমগঞ্জে অবস্থিত একটি সরকারি টেক্সটাইল প্রকৌশল কলেজ, যা বাংলাদেশ ইউনিভার্সিটি অব টেক্সটাইলসের অধিভুক্ত এবং Ministry of Textiles and Jute-এর আওতায় পরিচালিত। বাংলাদেশের সবচেয়ে গুরুত্বপূর্ণ রপ্তানি খাত যেহেতু টেক্সটাইল ও রেডিমেড গার্মেন্টস, তাই এ কলেজের মতো বিশেষায়িত প্রতিষ্ঠানের গুরুত্ব অত্যন্ত বেশি। এখানে মূলত টেক্সটাইল প্রকৌশলের বিভিন্ন মৌলিক শাখায় স্নাতক শিক্ষা প্রদান করা হয় এবং সেই শিক্ষার লক্ষ্য কেবল ডিগ্রি প্রদান নয়; বরং শিল্প-সক্ষম, প্রযুক্তিদক্ষ এবং বাস্তব সমস্যার সমাধান দিতে সক্ষম প্রকৌশলী তৈরি করা। অফিসিয়াল তথ্য অনুযায়ী কলেজটিতে বিভাগভিত্তিক পাঠ্যক্রম, ভর্তি ব্যবস্থা, সিলেবাস, alumni association, anti-ragging structure, security committee এবং research-oriented উপস্থিতি রয়েছে, যা একটি সংগঠিত একাডেমিক পরিবেশের ইঙ্গিত দেয়। একজন শিক্ষার্থীর জন্য এ কলেজে পড়ার আকর্ষণ অনেকগুলো কারণে বিশেষভাবে উল্লেখযোগ্য। প্রথমত, এটি একটি focused institution, অর্থাৎ এখানে পড়তে এলে শুরু থেকেই একটি নির্দিষ্ট শিল্পখাতকে লক্ষ্য করে প্রস্তুতি নেওয়া যায়। দ্বিতীয়ত, সরকারি টেক্সটাইল কলেজ হওয়ায় শিক্ষার গ্রহণযোগ্যতা এবং career relevance তুলনামূলক বেশি। তৃতীয়ত, নোয়াখালীর অবস্থান দক্ষিণ-পূর্বাঞ্চলের শিক্ষার্থীদের জন্য এটিকে accessible করে তুলেছে। চতুর্থত, BUTEX affiliation থাকার ফলে পাঠ্যক্রম ও একাডেমিক মান বৃহত্তর textile university framework-এর সঙ্গে যুক্ত থাকে। আজকের বিশ্বে textile engineering-এর শিক্ষার্থীরা কেবল spinning, weaving বা dyeing-এই সীমাবদ্ধ থাকে না; তারা apparel product development, supply chain, sustainability, textile testing, industrial engineering, compliance, production optimization, merchandising এবং export-oriented quality management-এর মতো বহুমাত্রিক ক্ষেত্রে নিজেদের প্রতিষ্ঠা করতে পারে। এই কলেজে অধ্যয়ন করলে শিক্ষার্থীরা textile sector-এর সম্পূর্ণ value chain সম্পর্কে বাস্তবসম্মত ধারণা নিয়ে বের হতে পারে। যারা টেক্সটাইল ও গার্মেন্টস শিল্পকে শুধু চাকরির ক্ষেত্র নয়, বরং একটি বিশাল প্রযুক্তিনির্ভর ও আন্তর্জাতিকভাবে সংযুক্ত career landscape হিসেবে দেখতে চায়, তাদের জন্য Noakhali Textile Engineering College একটি অত্যন্ত উপযোগী, বাস্তবমুখী এবং ভবিষ্যৎসম্মত প্রতিষ্ঠান।</t>
  </si>
  <si>
    <t>TECN</t>
  </si>
  <si>
    <t>Begumgonj</t>
  </si>
  <si>
    <t>tecn_n@yahoo.com</t>
  </si>
  <si>
    <t>https://tecn.noakhali.gov.bd</t>
  </si>
  <si>
    <t>National Maritime Institute</t>
  </si>
  <si>
    <t>National Maritime Institute বাংলাদেশের সামুদ্রিক পেশাজীবী তৈরির অন্যতম প্রাচীন ও গুরুত্বপূর্ণ বিশেষায়িত প্রতিষ্ঠান, যার যাত্রা শুরু ১৯৫২ সালে এবং যা বর্তমানে চট্টগ্রামের দক্ষিণ হালিশহরে একটি আধুনিক প্রশিক্ষণকেন্দ্র হিসেবে প্রতিষ্ঠিত। এটি সাধারণ বিশ্ববিদ্যালয় বা কলেজের মতো নয়; বরং merchant shipping, seafaring, marine operations এবং সমুদ্রভিত্তিক পেশাগত দক্ষতা গড়ে তোলার জন্য তৈরি একটি রাষ্ট্র-সমর্থিত maritime training institution। বাংলাদেশের ভৌগোলিক অবস্থান, বন্দরনির্ভর বাণিজ্য, আন্তর্জাতিক শিপিং রুটে অংশগ্রহণ এবং নীল অর্থনীতি বা blue economy-র সম্ভাবনা বিবেচনায় এ প্রতিষ্ঠানের ভূমিকা অত্যন্ত গুরুত্বপূর্ণ। অফিসিয়াল তথ্য অনুযায়ী NMI IMO white listed institute হিসেবে আন্তর্জাতিক মানসম্পন্ন maritime training ecosystem-এর অংশ। এর অর্থ হলো এখানে সামুদ্রিক নিরাপত্তা, নৌযাত্রা-সংক্রান্ত শৃঙ্খলা, জাহাজে কাজের প্রস্তুতি, প্রয়োজনীয় প্রযুক্তিগত দক্ষতা, সুরক্ষা নীতি, operational awareness এবং পেশাগত আচরণ—এসব বিষয়ে প্রশিক্ষণ দেওয়া হয়। একজন শিক্ষার্থীর জন্য National Maritime Institute-এ পড়াশোনার বিশেষ তাৎপর্য হলো, এটি তাকে একটি অত্যন্ত নির্দিষ্ট ও আন্তর্জাতিকভাবে প্রাসঙ্গিক পেশাগত জগতে প্রবেশের সুযোগ দেয়। অনেক শিক্ষাপ্রতিষ্ঠান broad-based education দেয়, কিন্তু NMI-এর মতো প্রতিষ্ঠান শুরু থেকেই career-specific preparation-এর ওপর জোর দেয়। ফলে যারা merchant navy, maritime operations, ship management, navigation support, sea service বা আন্তর্জাতিক সামুদ্রিক পেশায় কাজ করতে চায়, তাদের জন্য এটি সরাসরি প্রাসঙ্গিক। সুন্দর ক্যাম্পাস, প্রশিক্ষণ ব্লক, সুরক্ষিত পরিবেশ এবং hands-on training orientation এ প্রতিষ্ঠানের পরিবেশকে আলাদা করে তোলে। এখানে শিক্ষাজীবন মূলত discipline, technical readiness এবং professional identity গঠনের মাধ্যমে পরিচালিত হয়। বাংলাদেশের তরুণদের জন্য, বিশেষ করে যারা land-based traditional career-এর বাইরে গিয়ে global maritime profession-এ নিজেদের অবস্থান তৈরি করতে চায়, তাদের জন্য National Maritime Institute একটি অত্যন্ত মূল্যবান, বিশেষায়িত এবং আন্তর্জাতিকভাবে সম্ভাবনাময় প্রতিষ্ঠান।</t>
  </si>
  <si>
    <t>NMI</t>
  </si>
  <si>
    <t>Chattogram</t>
  </si>
  <si>
    <t>https://nmi.gov.bd</t>
  </si>
  <si>
    <t>National Institute of Textile Engineering and Research</t>
  </si>
  <si>
    <t>National Institute of Textile Engineering and Research বা NITER বাংলাদেশের টেক্সটাইল উচ্চশিক্ষার একটি অত্যন্ত গুরুত্বপূর্ণ এবং স্বতন্ত্র প্রতিষ্ঠান, যা ঢাকা বিশ্ববিদ্যালয়ের অধিভুক্ত এবং Ministry of Textiles and Jute ও BTMA-র তত্ত্বাবধানে public-private partnership ভিত্তিতে পরিচালিত হয়। সাভারে অবস্থিত এই প্রতিষ্ঠানটি বাংলাদেশের textile education ecosystem-এ আলাদা পরিচয় বহন করে, কারণ এটি একই সঙ্গে শিক্ষা, গবেষণা, শিল্পসংযোগ এবং উদ্ভাবন—এই চারটি দিককে সমন্বিতভাবে এগিয়ে নিতে চায়। অফিসিয়াল সাইটে NITER-কে excellence in textile education, research and innovation-এর একটি leading institution হিসেবে বর্ণনা করা হয়েছে। এখানকার একাডেমিক পরিবেশ textile ও related engineering discipline-এর ওপর নিবিড়ভাবে কেন্দ্রীভূত, ফলে শিক্ষার্থীরা শুরু থেকেই শিল্পখাতের সঙ্গে সামঞ্জস্যপূর্ণ জ্ঞান ও দক্ষতা অর্জনের সুযোগ পায়। বাংলাদেশের বৃহৎ textile and apparel industry-এর জন্য দক্ষ প্রকৌশলী, গবেষক, supervisor, process developer এবং প্রযুক্তি-সচেতন ব্যবস্থাপক তৈরিতে NITER-এর ভূমিকা বড়। PPP কাঠামোয় পরিচালিত হওয়ার কারণে এটি একদিকে সরকারি মানদণ্ড অনুসরণ করে, অন্যদিকে private sector-এর শিল্প-অভিজ্ঞতা ও বাস্তবমুখী চাহিদার সঙ্গেও নিজেকে যুক্ত রাখতে পারে। এই বৈশিষ্ট্য শিক্ষার্থীদের জন্য বড় সুবিধা, কারণ তারা কেবল academic theory-তেই সীমাবদ্ধ থাকে না; বরং industry relevance, factory culture, technology adaptation এবং employment readiness-এর দিকেও সমানভাবে প্রস্তুত হতে পারে। একজন শিক্ষার্থীর জন্য NITER-এ পড়াশোনার বিশেষ আকর্ষণ হলো—এখানে textile engineering-কে একটি গতিশীল ও আন্তর্জাতিক বাজার-সংযুক্ত পেশাগত ক্ষেত্র হিসেবে দেখা হয়। production, dyeing, finishing, apparel manufacturing, industrial engineering, quality control, testing, merchandising support, textile research এবং sustainability—এসব ক্ষেত্রের প্রতি আগ্রহী শিক্ষার্থীদের জন্য এটি অত্যন্ত উপযুক্ত। সাভার-ঢাকা করিডরের অবস্থান শিল্প-সংযোগ এবং কাজের সুযোগের ক্ষেত্রেও সহায়ক। যারা textile sector-এ শুধু চাকরি নয়, বরং নেতৃত্ব, উদ্ভাবন এবং research-backed professional identity গড়তে চায়, তাদের জন্য National Institute of Textile Engineering and Research একটি অত্যন্ত শক্তিশালী, মর্যাদাপূর্ণ এবং কর্মমুখী শিক্ষাপ্রতিষ্ঠান।</t>
  </si>
  <si>
    <t>NITER</t>
  </si>
  <si>
    <t>Savar, Dhaka</t>
  </si>
  <si>
    <t>info@niter.edu.bd</t>
  </si>
  <si>
    <t>niter.edu.bd</t>
  </si>
  <si>
    <t>Mymensingh Engineering College</t>
  </si>
  <si>
    <t>Mymensingh Engineering College ময়মনসিংহের একটি সরকারি undergraduate engineering college, যা ২০০৭ সালে প্রতিষ্ঠিত হয় এবং ঢাকা বিশ্ববিদ্যালয়ের constituent engineering college হিসেবে পরিচালিত। অফিসিয়াল সাইটে বিভাগসমূহ, hall, robotics and research center, ICT resource center, innovation project, job placement cell এবং শিক্ষার্থীদের একাডেমিক সেবার সক্রিয় উপস্থিতি দেখা যায়, যা একটি আধুনিক প্রকৌশল শিক্ষাপ্রতিষ্ঠানের মৌলিক বৈশিষ্ট্য বহন করে। এখানে Civil Engineering, Computer Science and Engineering এবং Electrical and Electronic Engineering-এর মতো মূলধারার প্রকৌশল বিভাগ রয়েছে, যা বর্তমান চাকরিবাজার, অবকাঠামো উন্নয়ন, প্রযুক্তি খাত এবং ডিজিটাল অর্থনীতির সঙ্গে সরাসরি সম্পর্কিত। একজন শিক্ষার্থীর জন্য এ কলেজের সবচেয়ে বড় শক্তি হলো—এটি সরকারি, আবার একই সঙ্গে ঢাকা বিশ্ববিদ্যালয়ের একাডেমিক কাঠামোর সঙ্গে যুক্ত। ফলে degree recognition, syllabus-এর গ্রহণযোগ্যতা এবং একাডেমিক মর্যাদা তুলনামূলকভাবে শক্তিশালী। ময়মনসিংহ শহরের কাছাকাছি অবস্থান করার কারণে এটি এমন শিক্ষার্থীদের জন্য বিশেষভাবে উপযোগী, যারা রাজধানীর বাইরে থেকেও উচ্চমানের engineering education নিতে চায়। এখানকার job placement cell, innovation team এবং research-and-robotics orientation দেখায় যে কলেজটি শুধুমাত্র বইভিত্তিক শিক্ষা দেয় না; বরং শিক্ষার্থীদের প্রযুক্তিগত সমস্যা সমাধান, উদ্ভাবনী চিন্তা এবং career readiness-এও গুরুত্ব দেয়। যারা ভবিষ্যতে software, infrastructure, power sector, সরকারি প্রকৌশল, industrial systems বা higher studies-এ যেতে চায়, তাদের জন্য এ কলেজ একটি শক্তিশালী ভিত্তি তৈরি করতে পারে। hall culture, departmental identity, lab work এবং project-based learning engineering life-কে আরও অর্থপূর্ণ করে তোলে। একজন শিক্ষার্থীর কাছে Mymensingh Engineering College-এর গুরুত্ব এই যে, এটি comparatively focused পরিবেশে প্রকৌশল শিক্ষার সুযোগ দেয়, আবার প্রতিষ্ঠানের সরকারি পরিচয় ও বিশ্ববিদ্যালয়-সংযুক্ত মর্যাদা দীর্ঘমেয়াদি career building-এ সাহায্য করে। যারা প্রযুক্তিনির্ভর পেশাজীবন গড়তে চায় এবং একাডেমিক শৃঙ্খলা, গবেষণার সম্ভাবনা ও আঞ্চলিক accessibility—এই তিনটিকে একসঙ্গে মূল্য দেয়, তাদের জন্য Mymensingh Engineering College একটি অত্যন্ত সম্মানজনক ও বাস্তবভিত্তিক পছন্দ।</t>
  </si>
  <si>
    <t>MEC</t>
  </si>
  <si>
    <t>Mymensingh</t>
  </si>
  <si>
    <t>principal@mec.ac.bd</t>
  </si>
  <si>
    <t>mec.ac.bd</t>
  </si>
  <si>
    <t>eis.du.ac.bd</t>
  </si>
  <si>
    <t>Marine Fisheries Academy</t>
  </si>
  <si>
    <t>Marine Fisheries Academy বাংলাদেশের সামুদ্রিক মৎস্যসম্পদভিত্তিক মানবসম্পদ তৈরির একটি বিশেষায়িত জাতীয় প্রতিষ্ঠান, যা চট্টগ্রামে অবস্থিত এবং মৎস্য ও প্রাণিসম্পদ মন্ত্রণালয়ের অধীনে পরিচালিত হয়। সাধারণ শিক্ষাপ্রতিষ্ঠানের তুলনায় এর চরিত্র একেবারেই আলাদা, কারণ এটি সমুদ্রভিত্তিক মৎস্য আহরণ, marine navigation support, fisheries operations, cadet training, safety course এবং blue economy-সংশ্লিষ্ট পেশাগত দক্ষতা গড়ে তোলার জন্য কাজ করে। অফিসিয়াল সরকারি সাইটে cadet admission, class routine, syllabus, short course, pre-sea special course, academic publication, SDG/blue economy research report এবং alumni-related information-এর উপস্থিতি এই প্রতিষ্ঠানের প্রশিক্ষণভিত্তিক কিন্তু একাডেমিকভাবে সংগঠিত চরিত্রকে স্পষ্ট করে। বাংলাদেশের সামুদ্রিক অর্থনীতি, সমুদ্রসম্পদ আহরণ, deep sea fisheries, ocean governance এবং marine workforce development-এর জন্য এ ধরনের প্রতিষ্ঠানের প্রয়োজন অত্যন্ত বেশি। Marine Fisheries Academy সেই চাহিদা পূরণে কাজ করছে। একজন শিক্ষার্থীর জন্য এই প্রতিষ্ঠানে পড়ার বিশেষ আকর্ষণ হলো—এটি একটি highly specialized pathway, যা traditional BA/BSc degree-কেন্দ্রিক শিক্ষার বাইরে গিয়ে সুনির্দিষ্ট পেশাগত প্রস্তুতি দেয়। এখানে discipline, physical readiness, sea-oriented training, technical awareness এবং fisheries operations-এর জ্ঞান একসঙ্গে গড়ে ওঠে। যারা marine fisheries, seagoing career, offshore operations, fisheries fleet management, ocean-based food economy এবং সমুদ্রসম্পর্কিত পেশায় যুক্ত হতে চায়, তাদের জন্য এটি অত্যন্ত বাস্তবসম্মত ও ভবিষ্যৎসম্মত প্রতিষ্ঠান। সরকারি তত্ত্বাবধান, structured cadet system, training-focused environment এবং blue economy relevance—এই চারটি কারণে Marine Fisheries Academy বাংলাদেশের সামুদ্রিক পেশাভিত্তিক শিক্ষার ক্ষেত্রে একটি কেন্দ্রীয় ও বিশেষ মর্যাদাসম্পন্ন নাম</t>
  </si>
  <si>
    <t>MFA</t>
  </si>
  <si>
    <t>info@mfacademy.gov.bd</t>
  </si>
  <si>
    <t>https://mfacademy.gov.bd</t>
  </si>
  <si>
    <t>mfacademy.gov.bd</t>
  </si>
  <si>
    <t>Jamalpur Textile Engineering College</t>
  </si>
  <si>
    <t>Jamalpur Textile Engineering College জামালপুরের মেলান্দহে অবস্থিত একটি গুরুত্বপূর্ণ সরকারি টেক্সটাইল প্রকৌশল কলেজ, যা বাংলাদেশের বস্ত্রশিল্পভিত্তিক উচ্চশিক্ষা সম্প্রসারণের একটি কৌশলগত অংশ হিসেবে গড়ে উঠেছে। এটি বাংলাদেশ ইউনিভার্সিটি অব টেক্সটাইলসের অধিভুক্ত হওয়ায় এর একাডেমিক কাঠামো জাতীয় পর্যায়ের টেক্সটাইল শিক্ষাব্যবস্থার সঙ্গে সরাসরি সংযুক্ত, এবং এখানকার পাঠ্যক্রম এমনভাবে সাজানো যে শিক্ষার্থীরা বস্ত্রশিল্পের মৌলিক তত্ত্ব, প্রকৌশল প্রয়োগ, শিল্পপ্রক্রিয়া এবং কারখানাভিত্তিক বাস্তবতার মধ্যে একটি কার্যকর সেতুবন্ধন তৈরি করতে পারে। সাধারণত সুতা, ফেব্রিক, ওয়েট প্রসেস ও অ্যাপারেলভিত্তিক শাখাগুলোর সমন্বয়ে কলেজের শিক্ষা পরিচালিত হয়, ফলে একজন শিক্ষার্থী কাঁচামাল থেকে শুরু করে প্রস্তুত পোশাক পর্যন্ত সম্পূর্ণ উৎপাদনশৃঙ্খল সম্পর্কে বাস্তবভিত্তিক ধারণা লাভ করে। জামালপুর অঞ্চলের শিক্ষার্থীদের জন্য এই প্রতিষ্ঠান বিশেষভাবে তাৎপর্যপূর্ণ, কারণ এটি ঢাকামুখী নির্ভরতা কমিয়ে স্থানীয় পর্যায়ে একটি বিশেষায়িত প্রকৌশল শিক্ষার সুযোগ তৈরি করেছে। টেক্সটাইল খাত বাংলাদেশের সবচেয়ে বড় রপ্তানি-নির্ভর শিল্প হওয়ায় এ কলেজ থেকে উত্তীর্ণ শিক্ষার্থীদের জন্য উৎপাদন ব্যবস্থাপনা, মাননিয়ন্ত্রণ, মার্চেন্ডাইজিং, টেক্সটাইল টেস্টিং, ডাইং ও ফিনিশিং, অ্যাপারেল ডেভেলপমেন্ট এবং শিল্প-পর্যবেক্ষণের মতো ক্ষেত্রে পেশাগত সুযোগ তৈরি হয়। একজন শিক্ষার্থীর জন্য এ প্রতিষ্ঠানের আকর্ষণ শুধু ডিগ্রি নয়, বরং একটি নির্দিষ্ট শিল্পখাতকে লক্ষ্য করে পেশাগতভাবে প্রস্তুত হয়ে ওঠা। যারা textile engineering-কে চাকরির বিষয় হিসেবে নয়, বরং বাংলাদেশের অর্থনীতির কেন্দ্রীয় শিল্পখাতের সঙ্গে যুক্ত দীর্ঘমেয়াদি ক্যারিয়ার হিসেবে দেখতে চায়, তাদের জন্য Jamalpur Textile Engineering College একটি অত্যন্ত বাস্তবসম্মত, কর্মমুখী এবং ভবিষ্যৎসম্ভাবনাময় প্রতিষ্ঠান।</t>
  </si>
  <si>
    <t>JTEC</t>
  </si>
  <si>
    <t>Jamalpur</t>
  </si>
  <si>
    <t>jtec@dot.gov.bd</t>
  </si>
  <si>
    <t>jtec.gov.bd</t>
  </si>
  <si>
    <t>Gopalganj Textile Engineering College</t>
  </si>
  <si>
    <t>Gopalganj Textile Engineering College গোপালগঞ্জ সদরভিত্তিক একটি সরকারি টেক্সটাইল প্রকৌশল কলেজ, যা তুলনামূলকভাবে নবীন হলেও দেশের টেক্সটাইল উচ্চশিক্ষা ব্যবস্থায় দ্রুত গুরুত্ব অর্জন করেছে। কলেজটির একাডেমিক কার্যক্রম ২০২১ সালে শুরু হয় এবং বর্তমানে এটি বাংলাদেশ ইউনিভার্সিটি অব টেক্সটাইলসের অধিভুক্ত অবস্থায় চার বছর মেয়াদি বি.এসসি ইন টেক্সটাইল ইঞ্জিনিয়ারিং শিক্ষা প্রদান করছে। এখানে Yarn Engineering, Fabric Engineering, Wet Process Engineering এবং Apparel Engineering-এর মতো টেক্সটাইল শিল্পের মৌলিক ও পেশাভিত্তিক চারটি গুরুত্বপূর্ণ বিভাগ রয়েছে, যা শিক্ষার্থীদের শিল্পক্ষেত্রে সরাসরি প্রয়োগযোগ্য জ্ঞান অর্জনে সহায়তা করে। গোপালগঞ্জ অঞ্চলে এ ধরনের বিশেষায়িত প্রতিষ্ঠান থাকা মানে দক্ষিণ-মধ্যাঞ্চলের শিক্ষার্থীরা নিজ অঞ্চলের কাছে থেকেই একটি উচ্চচাহিদাসম্পন্ন শিল্পখাতের প্রকৌশল শিক্ষা গ্রহণ করতে পারছে। টেক্সটাইল খাত বাংলাদেশের বৈদেশিক আয়, কর্মসংস্থান এবং শিল্পবৃদ্ধির অন্যতম প্রধান চালিকাশক্তি হওয়ায় এই কলেজের শিক্ষার্থীরা ভবিষ্যতে spinning, knitting, weaving, dyeing, garment production, compliance, product development, textile testing এবং production planning-এর মতো বাস্তবধর্মী পেশায় প্রবেশের জন্য প্রস্তুত হয়। নতুন কলেজ হওয়ার কারণে এখানকার একাডেমিক পরিবেশে অনেক সময় শিক্ষক-শিক্ষার্থীর ঘনিষ্ঠ যোগাযোগ, বিভাগীয় পরিচয় এবং institutional growth-এর সঙ্গে নিজেকে যুক্ত করার আলাদা সুযোগ তৈরি হয়। একজন শিক্ষার্থীর দৃষ্টিকোণ থেকে Gopalganj Textile Engineering College-এর বড় শক্তি হলো এর focus, অর্থাৎ এখানে পড়াশোনা করলে শুরু থেকেই একটি নির্দিষ্ট শিল্পখাতকে কেন্দ্র করে দক্ষতা গড়ে তোলা যায়। যারা বস্ত্র ও পোশাকশিল্পকে প্রযুক্তিনির্ভর, আধুনিক এবং আন্তর্জাতিক সংযোগসমৃদ্ধ একটি কর্মক্ষেত্র হিসেবে দেখতে চায়, তাদের জন্য Gopalganj Textile Engineering College একটি অত্যন্ত যুক্তিসঙ্গত ও সম্ভাবনাময় উচ্চশিক্ষার গন্তব্য।</t>
  </si>
  <si>
    <t>GTEC</t>
  </si>
  <si>
    <t>Gopinathpur, Gopalganj</t>
  </si>
  <si>
    <t>principal.gtec@dot.gov.bd</t>
  </si>
  <si>
    <t>https://gtec.gov.bd</t>
  </si>
  <si>
    <t>https://dot.teletalk.com.bd</t>
  </si>
  <si>
    <t>Faridpur Engineering College</t>
  </si>
  <si>
    <t>Faridpur Engineering College ফরিদপুরে অবস্থিত একটি সরকারি স্নাতক পর্যায়ের প্রকৌশল কলেজ, যা ঢাকা বিশ্ববিদ্যালয়ের প্রকৌশল ও প্রযুক্তি অনুষদের অধিভুক্ত হিসেবে পরিচালিত হয় এবং আঞ্চলিক পর্যায়ে প্রকৌশল শিক্ষার একটি শক্তিশালী বিকল্প তৈরি করেছে। কলেজটির প্রধান আকর্ষণ হলো এটি সরকারি কাঠামোর অংশ হয়েও একটি focused engineering institution হিসেবে কাজ করে, যেখানে বিষয়ভিত্তিক প্রযুক্তি শিক্ষা, ল্যাবভিত্তিক অনুশীলন, প্রজেক্ট, গবেষণা-উদ্যোগ এবং দক্ষতা উন্নয়নের পরিবেশ একসঙ্গে গড়ে ওঠে। ফরিদপুর শহরের কাছাকাছি অবস্থানের কারণে এটি দক্ষিণ-পশ্চিম ও মধ্যাঞ্চলের শিক্ষার্থীদের জন্য ভৌগোলিকভাবে সুবিধাজনক। কলেজটির একাডেমিক দর্শন এমনভাবে সাজানো যে একজন শিক্ষার্থী প্রকৌশল শিক্ষাকে শুধু বইয়ের মধ্যে সীমাবদ্ধ না রেখে ব্যবহারিক সমস্যা সমাধান, প্রযুক্তিগত বিশ্লেষণ, দলগত কাজ এবং পেশাগত দায়িত্ববোধের মাধ্যমে আত্মস্থ করতে পারে। সরকারি প্রকৌশল কলেজ হওয়ায় এর ডিগ্রি গ্রহণযোগ্যতা, একাডেমিক শৃঙ্খলা এবং দীর্ঘমেয়াদি career value যথেষ্ট শক্তিশালী। ঢাকার বাইরে থেকে engineering education নেওয়ার ক্ষেত্রে অনেক শিক্ষার্থী যে আর্থিক ও আবাসনগত চ্যালেঞ্জের মুখোমুখি হয়, Faridpur Engineering College তাদের জন্য একটি গুরুত্বপূর্ণ বিকল্প, কারণ এখানে comparatively accessible location-এর মধ্যে engineering learning, campus identity এবং career preparation—তিনটিই একসঙ্গে পাওয়া যায়। ভবিষ্যতে civil infrastructure, electrical systems, information technology, industrial sector, government engineering services কিংবা higher studies—এসব ক্ষেত্রের জন্য একটি দৃঢ় ভিত্তি গড়ে তুলতে এই কলেজ সহায়ক হতে পারে। যারা সরকারি প্রকৌশল শিক্ষার একটি focused, disciplined এবং আঞ্চলিকভাবে সুবিধাজনক পথ খুঁজছে, তাদের জন্য Faridpur Engineering College অত্যন্ত তাৎপর্যপূর্ণ একটি প্রতিষ্ঠান।</t>
  </si>
  <si>
    <t>FEC</t>
  </si>
  <si>
    <t>Faridpur</t>
  </si>
  <si>
    <t>fec_bd@yahoo.com</t>
  </si>
  <si>
    <t>fec.ac.bd</t>
  </si>
  <si>
    <t>Dr. M A Wazed Miah Textile Engineering College</t>
  </si>
  <si>
    <t>Dr. M A Wazed Miah Textile Engineering College রংপুরের পীরগঞ্জে অবস্থিত একটি সরকারি টেক্সটাইল প্রকৌশল কলেজ, যা উত্তরাঞ্চলে টেক্সটাইলভিত্তিক উচ্চশিক্ষার বিস্তারের একটি গুরুত্বপূর্ণ নাম। এই কলেজের পরিচয় বিশেষভাবে মূল্যবান কারণ এটি দেশের textile-oriented professional education network-এর অংশ এবং বস্ত্র অধিদপ্তরের অধীন পরিচালিত সরকারি টেক্সটাইল কলেজসমূহের ধারাবাহিকতায় অন্তর্ভুক্ত। এর নাম দেশের বিশিষ্ট বিজ্ঞানী ড. এম এ ওয়াজেদ মিয়ার স্মৃতিকে ধারণ করে, যা প্রতিষ্ঠানটিকে একটি প্রতীকী মর্যাদাও দিয়েছে। এখানে মূলত BSc in Textile Engineering প্রোগ্রাম পরিচালিত হয় এবং টেক্সটাইল শিল্পের প্রধান প্রযুক্তিগত ধাপগুলোকে সামনে রেখে পাঠ্যক্রম সাজানো হয়, যাতে শিক্ষার্থীরা fiber থেকে fabric, fabric থেকে finishing, এবং finishing থেকে apparel পর্যন্ত শিল্পশৃঙ্খলের পূর্ণাঙ্গ ধারণা পায়। উত্তরবঙ্গের শিক্ষার্থীদের জন্য এই কলেজ বিশেষ গুরুত্বপূর্ণ, কারণ আগে specialized textile engineering শিক্ষা নেওয়ার জন্য রাজধানী বা অন্যান্য শিল্পাঞ্চলের ওপর নির্ভর করতে হতো। এখন এই কলেজের মাধ্যমে স্থানীয় শিক্ষার্থীরা নিজ অঞ্চলের কাছাকাছি থেকে একটি অত্যন্ত market-relevant শিক্ষা অর্জন করতে পারছে। বাংলাদেশের garment and textile industry-র ধারাবাহিক বিস্তৃতি, export competitiveness, industrial compliance, sustainability এবং quality management-এর জন্য দক্ষ টেক্সটাইল প্রকৌশলীর চাহিদা ক্রমেই বাড়ছে। সেই বাস্তবতায় Dr. M A Wazed Miah Textile Engineering College-এ পড়াশোনা একজন শিক্ষার্থীর জন্য শুধু একটি ডিগ্রি নয়, বরং শিল্পসংযুক্ত একটি দীর্ঘমেয়াদি ক্যারিয়ারের প্রস্তুতি। যারা spinning, knitting, weaving, apparel manufacturing, industrial engineering, production supervision, dyeing-finishing, textile product development কিংবা textile-based entrepreneurship-এ নিজেদের ভবিষ্যৎ দেখতে চায়, তাদের জন্য এই কলেজটি অত্যন্ত কার্যকর একটি একাডেমিক প্ল্যাটফর্ম।</t>
  </si>
  <si>
    <t>MAWMTEC</t>
  </si>
  <si>
    <t>principal.mawmtec@dot.gov.bd</t>
  </si>
  <si>
    <t>https://mawmtec.gov.bd</t>
  </si>
  <si>
    <t>College of Home Economics</t>
  </si>
  <si>
    <t>College of Home Economics নামে পরিচিত ঐতিহ্যবাহী প্রতিষ্ঠানটির বর্তমান সরকারি নাম Government College of Applied Human Science, এবং এটি বাংলাদেশের নারীশিক্ষা, পারিবারিক বিজ্ঞান, পুষ্টি, পোশাক, শিশুবিকাশ, সম্পদ ব্যবস্থাপনা এবং পরিবার-সমাজভিত্তিক উচ্চশিক্ষার ক্ষেত্রে অত্যন্ত গুরুত্বপূর্ণ একটি প্রতিষ্ঠান। এই কলেজের মূল শক্তি হলো এটি এমন একধরনের শিক্ষা দেয়, যা সরাসরি মানুষের জীবনযাপন, পরিবার, স্বাস্থ্য, সমাজ এবং বাস্তব জীবনের দক্ষতার সঙ্গে সম্পর্কিত। সাধারণ academic degree-এর তুলনায় home economics বা applied human science-এর শিক্ষা অনেক বেশি জীবনঘনিষ্ঠ; এখানে খাদ্য ও পুষ্টি, বস্ত্র ও পোশাক, সম্পদ ব্যবস্থাপনা, গৃহপরিবেশ, পরিবারসম্পর্ক, শিশু উন্নয়ন, ভোক্তা আচরণ এবং সমাজ-সংবেদনশীল দক্ষতার সমন্বয় ঘটানো হয়। অফিসিয়াল পরিচয়ে এটিকে বাংলাদেশের নারীদের জন্য home economics-কেন্দ্রিক প্রথম গুরুত্বপূর্ণ উচ্চশিক্ষা প্রতিষ্ঠান হিসেবে উপস্থাপন করা হয়েছে, যা এর ঐতিহাসিক মূল্যকে আরও স্পষ্ট করে। একজন শিক্ষার্থীর জন্য এ প্রতিষ্ঠানের আকর্ষণ হলো—এখানে পড়াশোনা করলে শুধু চাকরি-উন্মুখ জ্ঞান নয়, বরং জীবনব্যাপী ব্যবহারযোগ্য জ্ঞানও অর্জিত হয়। শিক্ষা, পুষ্টি, খাদ্যব্যবস্থাপনা, apparel-related creativity, counseling, extension work, community development, early childhood services এবং social welfare—এসব ক্ষেত্রেও এই শাখার শিক্ষার্থীদের জন্য বহুমাত্রিক সুযোগ তৈরি হয়। বিশেষ করে যারা একটি সংবেদনশীল, মানবিক, প্রয়োগমুখী এবং নারী-কেন্দ্রিক একাডেমিক পরিবেশে পড়াশোনা করতে চায়, তাদের জন্য College of Home Economics বা বর্তমান Government College of Applied Human Science অত্যন্ত তাৎপর্যপূর্ণ একটি প্রতিষ্ঠান।</t>
  </si>
  <si>
    <t>CHE</t>
  </si>
  <si>
    <t>Azimpur, Dhaka</t>
  </si>
  <si>
    <t>info@che.edu.bd</t>
  </si>
  <si>
    <t>che.gov.bd</t>
  </si>
  <si>
    <t>Chittagong Textile Engineering College</t>
  </si>
  <si>
    <t>Chittagong Textile Engineering College চট্টগ্রামের মিরসরাইয়ের জোরারগঞ্জে অবস্থিত একটি সরকারি টেক্সটাইল প্রকৌশল কলেজ, যা বাংলাদেশের টেক্সটাইল উচ্চশিক্ষা ব্যবস্থায় একটি সুপ্রতিষ্ঠিত আঞ্চলিক কেন্দ্র হিসেবে পরিচিত। পুরোনো ঢাকা-চট্টগ্রাম ট্রাঙ্ক রোডের পাশে অবস্থিত হওয়ায় এ কলেজের অবস্থান শিল্প ও যোগাযোগ-দুই দিক থেকেই সুবিধাজনক। এটি বাংলাদেশ ইউনিভার্সিটি অব টেক্সটাইলসের অধিভুক্ত সরকারি টেক্সটাইল কলেজসমূহের একটি, এবং শিক্ষার্থীদের জন্য চার বছর মেয়াদি প্রকৌশল শিক্ষা প্রদান করে। টেক্সটাইল শিল্পে বাংলাদেশ যে বৈশ্বিক অবস্থান অর্জন করেছে, তা ধরে রাখতে এবং আরও এগিয়ে নিতে দক্ষ টেক্সটাইল ইঞ্জিনিয়ারের প্রয়োজন অপরিসীম; সেই প্রয়োজন পূরণে এই কলেজের ভূমিকা অত্যন্ত গুরুত্বপূর্ণ। এখানে পড়াশোনার মূল লক্ষ্য হলো শিক্ষার্থীদের textile production-এর তাত্ত্বিক ভিত্তি দেওয়ার পাশাপাশি বাস্তব শিল্পপ্রযুক্তি, machinery awareness, process efficiency, wet processing, apparel-linked চিন্তাভাবনা এবং quality consciousness গড়ে তোলা। চট্টগ্রাম অঞ্চলে বন্দর, শিল্প, পরিবহন এবং বাণিজ্যিক কার্যক্রমের সমন্বয় থাকায় এ কলেজের শিক্ষার্থীরা একটি বাস্তব অর্থনৈতিক পরিবেশের কাছাকাছি থেকেই পড়াশোনা করতে পারে। একজন শিক্ষার্থীর কাছে এই প্রতিষ্ঠানের আকর্ষণ হলো—এটি একটি focused technical college, যেখানে নির্দিষ্ট শিল্পখাতের জন্য নিজেকে প্রস্তুত করা যায়। যারা textile manufacturing, export-oriented production, fabric development, dyeing-finishing, industrial merchandising অথবা garment technology-ভিত্তিক ক্যারিয়ার গড়তে চায়, তাদের জন্য Chittagong Textile Engineering College অত্যন্ত উপযোগী। সরকারি পরিচয়, BUTEX affiliation, বিষয়ভিত্তিক স্পষ্টতা এবং শিল্প-উপযোগী পাঠ্যক্রম—এই সব মিলিয়ে প্রতিষ্ঠানটি টেক্সটাইল উচ্চশিক্ষার ক্ষেত্রে একটি বাস্তবসম্মত ও শক্তিশালী পছন্দ।</t>
  </si>
  <si>
    <t>CTEC</t>
  </si>
  <si>
    <t>principal@ctec.gov.bd</t>
  </si>
  <si>
    <t>ctec.gov.bd</t>
  </si>
  <si>
    <t>Barishal Engineering College</t>
  </si>
  <si>
    <t>Barishal Engineering College বরিশাল বিভাগের একটি গুরুত্বপূর্ণ সরকারি প্রকৌশল কলেজ, যা ঢাকা বিশ্ববিদ্যালয়ের অধিভুক্ত হিসেবে পরিচালিত হয় এবং দক্ষিণাঞ্চলের শিক্ষার্থীদের জন্য প্রকৌশল শিক্ষার একটি বড় সুযোগ তৈরি করেছে। প্রকৌশল শিক্ষার ক্ষেত্রে অনেক শিক্ষার্থীকে আগে ঢাকায় বা দূরবর্তী শহরে যেতে হতো, কিন্তু Barishal Engineering College সেই নির্ভরতা কমিয়ে আঞ্চলিক পর্যায়ে মানসম্মত engineering education-এর পথ তৈরি করেছে। কলেজের অফিসিয়াল কাঠামো থেকে বোঝা যায় যে এখানে Civil Engineering, Electrical and Electronic Engineering এবং General Science &amp; Humanities-সহ সংগঠিত বিভাগীয় পরিসর রয়েছে; পাশাপাশি class routine, thesis/project, robotics and research, training, job placement cell এবং innovation-related উদ্যোগও দৃশ্যমান। একজন শিক্ষার্থীর জন্য এ কলেজের আকর্ষণ হলো এর সরকারি পরিচয়, একাডেমিক শৃঙ্খলা এবং দক্ষিণাঞ্চলে থেকেই প্রকৌশল শিক্ষা নেওয়ার সুযোগ। engineering education-এর প্রকৃত মূল্য কেবল পরীক্ষায় ভালো ফল নয়; বরং বিশ্লেষণী চিন্তা, বাস্তব সমস্যা সমাধান, নকশাগত সক্ষমতা, প্রযুক্তিগত দায়িত্ববোধ এবং future-ready skills গড়ে তোলা। Barishal Engineering College সেই ধরনের পরিবেশ তৈরির চেষ্টা করে, যেখানে শিক্ষার্থী classroom learning-এর পাশাপাশি project, thesis, department-based identity এবং career preparation-এর সঙ্গে যুক্ত হতে পারে। বরিশালের আঞ্চলিক বাস্তবতা—নদীবেষ্টিত ভূগোল, অবকাঠামো উন্নয়নের প্রয়োজন, বিদ্যুৎ ও প্রযুক্তিভিত্তিক সেবার চাহিদা—প্রকৌশল শিক্ষাকে এখানে বিশেষ প্রাসঙ্গিক করে তোলে। যারা সরকারি প্রকৌশল কলেজে পড়ে long-term career in engineering, government service, infrastructure development, power systems, technology sector বা higher study-এর প্রস্তুতি নিতে চায়, তাদের জন্য Barishal Engineering College একটি অত্যন্ত সম্ভাবনাময়, মর্যাদাপূর্ণ এবং বাস্তবভিত্তিক প্রতিষ্ঠান।</t>
  </si>
  <si>
    <t>BEC</t>
  </si>
  <si>
    <t>principal@bec.ac.bd</t>
  </si>
  <si>
    <t>bec.ac.bd</t>
  </si>
  <si>
    <t>Bangladesh Marine Academy</t>
  </si>
  <si>
    <t>Bangladesh Marine Academy চট্টগ্রামে অবস্থিত বাংলাদেশের ঐতিহাসিক ও কেন্দ্রীয় সামুদ্রিক প্রশিক্ষণ প্রতিষ্ঠান, যা দেশের merchant navy ও আন্তর্জাতিক সমুদ্রপথে কাজের জন্য নাবিক ও marine officer তৈরির প্রধান কেন্দ্রগুলোর একটি। সামুদ্রিক পেশার জন্য যে ধরণের বিশেষায়িত শিক্ষা ও শৃঙ্খলাবদ্ধ প্রশিক্ষণ প্রয়োজন, এই একাডেমি তা দীর্ঘদিন ধরে প্রদান করে আসছে। এর চরিত্র সাধারণ কলেজ বা বিশ্ববিদ্যালয়ের মতো নয়; বরং এটি cadet-based professional maritime academy, যেখানে শিক্ষাজীবনের সঙ্গে discipline, physical fitness, nautical knowledge, নিরাপত্তা, sea readiness, leadership এবং international maritime standard—সবকিছু একসঙ্গে জড়িত। চট্টগ্রামের বন্দরনগর পরিবেশ এই প্রতিষ্ঠানের বাস্তবতাকে আরও তাৎপর্যপূর্ণ করে, কারণ maritime training এখানে কেবল তত্ত্বভিত্তিক নয়, বরং দেশের বাস্তব বন্দর ও শিপিং প্রেক্ষাপটের সঙ্গে সংযুক্ত। একজন শিক্ষার্থীর জন্য Bangladesh Marine Academy-তে পড়া মানে কেবল একটি ডিগ্রি বা certificate নেওয়া নয়; বরং একটি নির্দিষ্ট আন্তর্জাতিক পেশাজগতের জন্য নিজেকে তৈরি করা। sea career, merchant ship operations, navigation, marine engineering support, shipboard discipline এবং global employment pathway—এসব কিছুই এই একাডেমির মাধ্যমে বাস্তব সম্ভাবনায় রূপ নিতে পারে। যেসব শিক্ষার্থী land-based traditional career-এর বাইরে গিয়ে maritime profession-এ যুক্ত হতে চায়, বিশেষ করে যারা শৃঙ্খলাবদ্ধ জীবন, ভিন্নধর্মী ক্যারিয়ার এবং আন্তর্জাতিক কর্মপরিসরে আগ্রহী, তাদের জন্য Bangladesh Marine Academy একটি অত্যন্ত মর্যাদাপূর্ণ, ব্যতিক্রমধর্মী এবং career-defining প্রতিষ্ঠান।</t>
  </si>
  <si>
    <t>8802334421160</t>
  </si>
  <si>
    <t>BMA</t>
  </si>
  <si>
    <t>1962</t>
  </si>
  <si>
    <t>info@macademy.gov.bd</t>
  </si>
  <si>
    <t>https://macademy.gov.bd</t>
  </si>
  <si>
    <t>bsmrmu.edu.bd</t>
  </si>
  <si>
    <t>200</t>
  </si>
  <si>
    <t>Bangabandhu Textile Engineering College</t>
  </si>
  <si>
    <t>Bangabandhu Textile Engineering College নামে পরিচিত প্রতিষ্ঠানটি টাঙ্গাইলের কালিহাতীতে অবস্থিত একটি সরকারি টেক্সটাইল প্রকৌশল কলেজ, যা বর্তমানে টাঙ্গাইল টেক্সটাইল ইঞ্জিনিয়ারিং কলেজ নামেও পরিচিত এবং বাংলাদেশের টেক্সটাইল উচ্চশিক্ষা ব্যবস্থার অংশ হিসেবে পরিচালিত হয়। এর মূল পরিচয় হলো—এটি textile engineering-এ focused একটি public institution, যেখানে শিক্ষার্থীদের শিল্প-সম্পর্কিত প্রকৌশল শিক্ষা দেওয়া হয় এবং আধুনিক বস্ত্র উৎপাদন ব্যবস্থায় দক্ষতার সঙ্গে কাজ করার উপযোগী করে তোলা হয়। কলেজটির একাডেমিক কার্যক্রমে ক্লাস রুটিন, ভর্তি, ফলাফল, ই-লাইব্রেরি, thesis, research activity এবং academic governance-এর মতো উপাদান সক্রিয়ভাবে দৃশ্যমান, যা এটিকে একটি সুসংগঠিত প্রতিষ্ঠান হিসেবে তুলে ধরে। textile engineering শিক্ষার সবচেয়ে বড় বাস্তবতা হলো এটি সরাসরি শিল্প ও কর্মসংস্থানের সঙ্গে যুক্ত, এবং Bangabandhu Textile Engineering College সেই বাস্তবতার মধ্যে থেকেই শিক্ষার্থীদের গড়ে তোলে। একজন শিক্ষার্থী এখানে পড়লে spinning, weaving, wet process, apparel manufacturing, testing, production supervision, industrial management এবং textile entrepreneurship-এর মতো বহুমুখী ক্ষেত্রে নিজেদের ভবিষ্যৎ তৈরি করতে পারে। টাঙ্গাইল অঞ্চলের কাছাকাছি হওয়ায় এটি মধ্যাঞ্চলের বহু শিক্ষার্থীর জন্য সহজপ্রাপ্য, এবং একই সঙ্গে government-backed technical education হিসেবে এর গ্রহণযোগ্যতাও গুরুত্বপূর্ণ। যারা specialized engineering degree নিতে চায় কিন্তু এমন একটি ক্ষেত্র বেছে নিতে চায় যার সঙ্গে সরাসরি শিল্পখাত, রপ্তানি এবং চাকরির বাজার যুক্ত, তাদের জন্য Bangabandhu Textile Engineering College অত্যন্ত অর্থবহ ও বাস্তবসম্মত একটি পছন্দ।</t>
  </si>
  <si>
    <t>BTEC</t>
  </si>
  <si>
    <t>Kalihati, Tangail</t>
  </si>
  <si>
    <t>principalbtec@gmail.com</t>
  </si>
  <si>
    <t>https://btec.tangail.gov.bd</t>
  </si>
  <si>
    <t>11.Dental College</t>
  </si>
  <si>
    <t>Sir Salimullah Medical College Dental Unit</t>
  </si>
  <si>
    <t>Sir Salimullah Medical College Dental Unit পুরান ঢাকার ঐতিহ্যবাহী Sir Salimullah Medical College-এর একটি গুরুত্বপূর্ণ দন্তশিক্ষা ইউনিট, যা সরকারি চিকিৎসাশিক্ষার পরিসরে oral health, dental science এবং clinical dental training-এর ক্ষেত্রে বিশেষ ভূমিকা রাখে। স্যার সলিমুল্লাহ মেডিকেল কলেজ নিজেই বাংলাদেশের চিকিৎসা ইতিহাসে একটি সুপ্রাচীন ও মর্যাদাপূর্ণ নাম; সেই প্রেক্ষাপটে এর Dental Unit-ও ঐতিহ্য ও পেশাগত গুরুত্ব—দুই দিক থেকেই তাৎপর্যপূর্ণ। দন্তচিকিৎসা শিক্ষা মূলত অত্যন্ত hands-on এবং patient-centred; এখানে শুধু তত্ত্ব জানলেই হয় না, বরং diagnosis, operative skill, patient management, oral pathology, dental materials, community dentistry এবং restorative understanding-এর সমন্বয়ে একজন পূর্ণাঙ্গ dental professional গড়ে ওঠে। পুরান ঢাকার ঘনবসতিপূর্ণ নগর বাস্তবতা ও ঐতিহাসিক hospital-linked clinical পরিবেশের কারণে এই Dental Unit-এর শিক্ষার্থীরা রোগীর বৈচিত্র্যময় oral health condition-এর মুখোমুখি হওয়ার সুযোগ পায়, যা training-কে বাস্তবমুখী করে তোলে। একজন শিক্ষার্থীর জন্য এখানে পড়াশোনার বিশেষ সুবিধা হলো—এটি একটি বড় সরকারি মেডিকেল কলেজের অংশ হওয়ায় বৃহত্তর medical environment-এর মধ্যে dental education নেওয়া যায়। এতে inter-disciplinary understanding, professional maturity এবং government academic structure-এর সুবিধা একসঙ্গে মেলে। যারা সরকারি কাঠামোর মধ্যে BDS বা dental training নিতে চায় এবং একই সঙ্গে ঐতিহ্যবাহী প্রতিষ্ঠান, clinical exposure ও পেশাগত ভিত্তির শক্ত সমন্বয় খোঁজে, তাদের জন্য Sir Salimullah Medical College Dental Unit একটি অত্যন্ত সম্মানজনক ও শক্তিশালী পছন্দ।</t>
  </si>
  <si>
    <t>SSMC-DU</t>
  </si>
  <si>
    <t>Mitford Road, Babubazar, Dhaka-1100</t>
  </si>
  <si>
    <t>info@ssmc.gov.bd</t>
  </si>
  <si>
    <t>www.ssmc.gov.bd</t>
  </si>
  <si>
    <t>dgme.teletalk.com.bd</t>
  </si>
  <si>
    <t>Sher-e-Bangla Medical College Dental Unit</t>
  </si>
  <si>
    <t>Sher-e-Bangla Medical College Dental Unit বরিশালের Sher-e-Bangla Medical College-এর অন্তর্গত একটি গুরুত্বপূর্ণ দন্তশিক্ষা ইউনিট, যা দক্ষিণাঞ্চলের শিক্ষার্থীদের জন্য সরকারি dental education-এর একটি মূল্যবান পথ তৈরি করেছে। Sher-e-Bangla Medical College নিজেই একটি পরিচিত ও সুপ্রতিষ্ঠিত সরকারি মেডিকেল কলেজ; তার Dental Unit-ও সেই বড় একাডেমিক কাঠামোর মধ্যে দাঁড়িয়ে oral and dental sciences-এ শিক্ষা প্রদান করে। দন্তচিকিৎসা শিক্ষার ক্ষেত্রে clinical precision, practical skill, patient interaction, oral diagnosis, preventive care এবং restorative approaches বিশেষভাবে গুরুত্বপূর্ণ, এবং একটি সরকারি medical college-linked dental unit-এর ক্ষেত্রে এগুলো বাস্তব পরিবেশে চর্চার সুযোগ বেশি থাকে। দক্ষিণাঞ্চলের আঞ্চলিক স্বাস্থ্যব্যবস্থার সঙ্গে সংযোগ থাকায় এই ইউনিটে পড়া শিক্ষার্থীরা জনস্বাস্থ্যভিত্তিক dental awareness ও community-based care-এর গুরুত্বও উপলব্ধি করতে পারে। একজন শিক্ষার্থীর জন্য Sher-e-Bangla Medical College Dental Unit-এর বিশেষ আকর্ষণ হলো—এটি ঢাকার বাইরে সরকারি dental education-এর একটি গ্রহণযোগ্য ও সম্ভাবনাময় বিকল্প। বরিশালে থেকেই oral health profession-এ প্রবেশের সুযোগ, established medical campus-এর সুবিধা, এবং clinical environment-এর বাস্তব অভিজ্ঞতা—এই সব মিলিয়ে এটি একটি অর্থবহ প্রতিষ্ঠান। যারা সরকারি dental education, clinical exposure এবং regionally accessible professional pathway খুঁজছে, তাদের জন্য Sher-e-Bangla Medical College Dental Unit খুবই তাৎপর্যপূর্ণ একটি গন্তব্য।</t>
  </si>
  <si>
    <t>SBMC-DU</t>
  </si>
  <si>
    <t>www.sbmc.edu.bd</t>
  </si>
  <si>
    <t>Shaheed Suhrawardy Medical College Dental Unit</t>
  </si>
  <si>
    <t>Shaheed Suhrawardy Medical College Dental Unit ঢাকার শেরেবাংলা নগরে অবস্থিত Shaheed Suhrawardy Medical College-এর অংশ হিসেবে সরকারি dental education-এর একটি গুরুত্বপূর্ণ কেন্দ্র। রাজধানীতে অবস্থিত হওয়ায় এই ইউনিটের অন্যতম বড় শক্তি হলো এর clinical relevance; শহুরে রোগীপ্রবাহ, বহুমাত্রিক oral health সমস্যা এবং বড় হাসপাতাল-সংযুক্ত পরিবেশ dental students-দের জন্য rich clinical exposure তৈরি করে। Shaheed Suhrawardy Medical College নিজে ২০০৬ সালে প্রতিষ্ঠিত ১৪তম সরকারি মেডিকেল কলেজ হিসেবে পরিচিত, এবং তার Dental Unit বৃহত্তর medical teaching environment-এর অংশ হওয়ায় এখানে dental education শুধুমাত্র সীমিত বিষয়ে আবদ্ধ থাকে না; বরং broader clinical understanding, cross-disciplinary exposure এবং patient-centred learning-এর মাধ্যমে বিকশিত হয়। একজন শিক্ষার্থীর জন্য এ ইউনিটে পড়া মানে dental science-এর পাশাপাশি রাজধানীকেন্দ্রিক পেশাগত বাস্তবতা বোঝা। Dentistry আজকের বিশ্বে শুধু দাঁতের চিকিৎসা নয়; এর সঙ্গে oral surgery, preventive care, prosthodontics, community dentistry, endodontics, aesthetic concerns এবং public oral health awareness-ও জড়িত। একটি বড় সরকারি মেডিকেল কলেজের সঙ্গে যুক্ত থাকার ফলে এই Dental Unit সেই বিস্তৃত দৃষ্টিভঙ্গিই তৈরি করতে পারে। যারা ঢাকায় থেকে সরকারি dental education নিতে চায় এবং clinical intensity, institutional recognition ও professional network—এই তিনটি সুবিধা একসঙ্গে পেতে চায়, তাদের জন্য Shaheed Suhrawardy Medical College Dental Unit একটি অত্যন্ত শক্তিশালী ও গ্রহণযোগ্য পছন্দ।</t>
  </si>
  <si>
    <t>ShSMC-DU</t>
  </si>
  <si>
    <t>info@shsmc.gov.bd</t>
  </si>
  <si>
    <t>www.shsmc.gov.bd</t>
  </si>
  <si>
    <t>Dental College</t>
  </si>
  <si>
    <t>Rangpur Medical College Dental Unit</t>
  </si>
  <si>
    <t>Rangpur Medical College Dental Unit উত্তরবঙ্গে সরকারি dental education-এর একটি গুরুত্বপূর্ণ কেন্দ্র, যা Rangpur Medical College-এর বৃহত্তর একাডেমিক কাঠামোর ভেতরে oral health science-এর জন্য বিশেষায়িত শিক্ষা প্রদান করে। Rangpur Medical College নিজে উত্তরাঞ্চলের একটি প্রতিষ্ঠিত ও প্রভাবশালী সরকারি মেডিকেল কলেজ হওয়ায় এর Dental Unit-ও একটি শক্তিশালী public academic environment-এর সুবিধা পায়। অফিসিয়াল বিভাগীয় তথ্য অনুযায়ী এখানে Dentistry, Dental Materials and Engineering, Dental Pharmacology, Orthodontics, Prosthodontics, Oral Pathology, Periodontology, Community Dentistry এবং Pedodontics-এর মতো dental discipline-সংক্রান্ত শিক্ষক ও বিভাগীয় উপস্থিতি আছে, যা একটি পূর্ণাঙ্গ dental training environment-এর পরিচয় বহন করে। একজন শিক্ষার্থীর জন্য এর সবচেয়ে বড় শক্তি হলো—এখানে dental education-কে যথেষ্ট বিস্তৃতভাবে চর্চা করার সুযোগ রয়েছে। শুধুমাত্র দাঁতের সাধারণ চিকিৎসা নয়, বরং শিশুদের দন্তসেবা, মাড়ির রোগ, দাঁতের গঠন ও উপাদান, community-based oral health এবং restorative treatment—সব দিকেই শেখার সুযোগ তৈরি হয়। Rangpur অঞ্চলের বিপুল জনগোষ্ঠী ও সরকারি হাসপাতালভিত্তিক চিকিৎসা ব্যবস্থা clinical learning-কে আরও বাস্তবভিত্তিক করে। যারা উত্তরবঙ্গ থেকে সরকারি dental education নিতে চায় এবং একটি established medical institution-এর অংশ হয়ে oral and dental science-এ নিজেদের গড়তে আগ্রহী, তাদের জন্য Rangpur Medical College Dental Unit একটি অত্যন্ত মূল্যবান, বাস্তবসম্মত এবং পেশাগতভাবে শক্তিশালী প্রতিষ্ঠান।</t>
  </si>
  <si>
    <t>RpMC-DU</t>
  </si>
  <si>
    <r>
      <rPr>
        <rFont val="Arial"/>
        <b/>
        <color rgb="FF1155CC"/>
        <u/>
      </rPr>
      <t>www.rpmedicalcollege.com</t>
    </r>
  </si>
  <si>
    <t>Rajshahi Medical College Dental Unit</t>
  </si>
  <si>
    <t>Rajshahi Medical College Dental Unit উত্তরবঙ্গের dental education-এর একটি ঐতিহাসিক ও গুরুত্বপূর্ণ কেন্দ্র, যা Rajshahi Medical College-এর বৃহত্তর চিকিৎসা-একাডেমিক কাঠামোর অংশ হিসেবে দীর্ঘদিন ধরে দন্তচিকিৎসা শিক্ষা দিয়ে আসছে। অফিসিয়াল তথ্য অনুযায়ী ১৯৮৯-৯০ শিক্ষাবর্ষে এখানে Dental Unit চালু হয়, এবং শুরু থেকেই এটি একটি বড় সরকারি মেডিকেল কলেজের অংশ হিসেবে oral and dental science-এ শিক্ষা ও clinical training প্রদান করে আসছে। রাজশাহী মেডিকেল কলেজ নিজেই ১৯৫৮ সালে প্রতিষ্ঠিত একটি ঐতিহ্যবাহী সরকারি মেডিকেল কলেজ; ফলে এর Dental Unit-ও সেই ঐতিহ্য, institutional credibility এবং clinical strength-এর অংশীদার। একজন শিক্ষার্থীর জন্য এই ইউনিটে পড়াশোনার অর্থ হলো—একটি established hospital-linked medical environment-এ dental science শেখা, যেখানে patient diversity, সরকারি clinical service এবং regional oral health challenge—সবকিছু একসঙ্গে বোঝার সুযোগ থাকে। Dentistry-এর ক্ষেত্রে theoretical understanding-এর পাশাপাশি practical hand skill, diagnosis, patient communication, oral surgery exposure, restorative awareness এবং public oral health thinking অত্যন্ত গুরুত্বপূর্ণ; Rajshahi Medical College Dental Unit সেই পূর্ণাঙ্গ professional formation-এর জন্য একটি অনুকূল পরিবেশ তৈরি করতে পারে। উত্তরবঙ্গের dental students-দের জন্য এটি বিশেষভাবে গুরুত্বপূর্ণ, কারণ বড় শহর বা রাজধানীকেন্দ্রিক না হয়েও এখানে একটি গ্রহণযোগ্য সরকারি dental pathway তৈরি হয়েছে। যারা সরকারি BDS শিক্ষা, ঐতিহ্যময় একাডেমিক পরিমণ্ডল, hospital-based practical training এবং long-term professional value-কে গুরুত্ব দেয়, তাদের জন্য Rajshahi Medical College Dental Unit একটি খুবই শক্তিশালী ও সম্মানজনক নির্বাচন।</t>
  </si>
  <si>
    <t>RMC-DU</t>
  </si>
  <si>
    <t>principal@rmc.ac.bd</t>
  </si>
  <si>
    <t>www.rmc.ac.bd</t>
  </si>
  <si>
    <t>Mymensingh Medical College Dental Unit</t>
  </si>
  <si>
    <t>Mymensingh Medical College Dental Unit বাংলাদেশের অন্যতম ঐতিহাসিক ও শক্তিশালী সরকারি medical-dental academic environment-এর অংশ, কারণ Mymensingh Medical College নিজেই দেশের অন্যতম পুরোনো ও মর্যাদাপূর্ণ চিকিৎসাশিক্ষা প্রতিষ্ঠান। অফিসিয়াল তথ্য অনুযায়ী এই কলেজে MBBS-এর পাশাপাশি BDS এবং postgraduate program-ও পরিচালিত হয়, এবং প্রতি বছর উল্লেখযোগ্যসংখ্যক BDS শিক্ষার্থী এখানে ভর্তি হয়। অর্থাৎ এটি কেবল আনুষ্ঠানিক dental unit নয়; বরং একটি কার্যকর dental education platform, যা দীর্ঘ clinical tradition-সমৃদ্ধ medical campus-এর মধ্যে অবস্থান করছে। Mymensingh Medical College-এর বৃহৎ হাসপাতাল, প্রতিষ্ঠিত শিক্ষকসমাজ, গবেষণা-পরিবেশ, academic administration এবং postgraduate culture—এসবই Dental Unit-এর শিক্ষার্থীদের জন্য অতিরিক্ত সুবিধা তৈরি করে। Dentistry-তে উচ্চমানের শিক্ষা পেতে হলে oral pathology, diagnosis, restorative technique, preventive care, public oral health এবং chairside clinical confidence—এসব ক্ষেত্রেই শক্ত ভিত দরকার। একটি পুরোনো ও প্রতিষ্ঠিত medical college-এর অংশ হওয়ায় Mymensingh Medical College Dental Unit সেই ভিত তৈরি করার জন্য বিশেষভাবে উপযোগী। এখানে dental education-এর সঙ্গে বৃহত্তর medical science environment-এর সংযোগ থাকায় একজন শিক্ষার্থী মানুষের সামগ্রিক স্বাস্থ্য ও oral health-এর সম্পর্কও গভীরভাবে বোঝার সুযোগ পায়। যারা সরকারি dental education নিতে চায় এবং একই সঙ্গে এমন একটি প্রতিষ্ঠানে পড়তে চায় যেখানে ঐতিহ্য, clinical volume, academic rigor এবং professional recognition—সবকিছুর সমন্বয় আছে, তাদের জন্য Mymensingh Medical College Dental Unit একটি অত্যন্ত মর্যাদাপূর্ণ, দৃঢ় এবং দীর্ঘমেয়াদি মূল্যসম্পন্ন পথ।</t>
  </si>
  <si>
    <t>MMC-DU</t>
  </si>
  <si>
    <t>Charpara, Mymensingh-2206</t>
  </si>
  <si>
    <t>www.mmc.gov.bd</t>
  </si>
  <si>
    <t>M.A.G. Osmani Medical College Dental Unit</t>
  </si>
  <si>
    <t>M.A.G. Osmani Medical College Dental Unit সিলেটের অন্যতম গুরুত্বপূর্ণ সরকারি দন্তশিক্ষা ইউনিট, যা সিলেট এমএজি ওসমানী মেডিকেল কলেজ ও হাসপাতালের বৃহত্তর চিকিৎসা-একাডেমিক পরিবেশের অংশ হিসেবে oral and dental science-এ শিক্ষা, প্রশিক্ষণ এবং ক্লিনিক্যাল অভিজ্ঞতা প্রদান করে। সিলেট অঞ্চলের সবচেয়ে পরিচিত ও রোগীসমৃদ্ধ সরকারি চিকিৎসাকেন্দ্রগুলোর একটির সঙ্গে যুক্ত হওয়ায় এ ইউনিটের শিক্ষার্থীরা শুরু থেকেই বাস্তব রোগী, বিভিন্ন ধরনের দন্তসমস্যা, মুখগহ্বর-সম্পর্কিত রোগনির্ণয় এবং চিকিৎসাপদ্ধতির সঙ্গে পরিচিত হওয়ার সুযোগ পায়। দন্তচিকিৎসা এমন একটি শাখা যেখানে শুধু বইভিত্তিক জ্ঞান যথেষ্ট নয়; হাতে-কলমে দক্ষতা, সূক্ষ্মতা, রোগীর সঙ্গে ব্যবহার, স্বাস্থ্যবোধ, clinical judgment এবং ধৈর্য—সবকিছুর সমন্বয়ে একজন ভালো dental professional গড়ে ওঠে। M.A.G. Osmani Medical College Dental Unit-এর বিশেষ মূল্য এখানেই যে এটি একটি বড় সরকারি মেডিকেল কলেজ ও হাসপাতালের অংশ হওয়ায় dental শিক্ষাকে broader medical understanding-এর সঙ্গে যুক্ত করে। ফলে শিক্ষার্থীরা শুধু দাঁত বা মাড়ির চিকিৎসা শেখে না; বরং মানবদেহ, সামগ্রিক স্বাস্থ্য, সংক্রমণ, রোগপ্রবণতা, জনস্বাস্থ্য এবং চিকিৎসা-নৈতিকতার বিস্তৃত প্রেক্ষাপটও উপলব্ধি করতে পারে। সিলেট অঞ্চলে সরকারি কাঠামোর মধ্যে দন্তশিক্ষা গ্রহণ করতে ইচ্ছুক শিক্ষার্থীদের জন্য এই ইউনিট একটি অত্যন্ত তাৎপর্যপূর্ণ পথ, কারণ এখানে সরকারি একাডেমিক শৃঙ্খলা, শিক্ষক-নির্দেশিত প্রশিক্ষণ, ক্লিনিক্যাল রোগীপ্রবাহ এবং প্রতিষ্ঠিত চিকিৎসা-পরিবেশ—সবকিছু একসঙ্গে পাওয়া যায়। একজন শিক্ষার্থীর দৃষ্টিকোণ থেকে এ ইউনিটের বড় শক্তি হলো, এটি শুধু degree-oriented নয়; বরং professional formation-oriented। অর্থাৎ এখানে পড়াশোনা করলে ভবিষ্যতের dentist হিসেবে clinical confidence, practical skill, patient communication এবং institutional credibility—সবই তৈরি হয়। যারা সরকারি dental education, established clinical exposure এবং দীর্ঘমেয়াদি পেশাগত মর্যাদা—এই তিনটিকে গুরুত্ব দেয়, তাদের জন্য M.A.G. Osmani Medical College Dental Unit একটি অত্যন্ত সম্মানজনক, সুদৃঢ় এবং কার্যকর শিক্ষার ক্ষেত্র।</t>
  </si>
  <si>
    <t>SOMC-DU</t>
  </si>
  <si>
    <t>Kajalshah, Sylhet-3100</t>
  </si>
  <si>
    <t>magomc@ac.dghs.gov.bd</t>
  </si>
  <si>
    <r>
      <rPr>
        <rFont val="Arial"/>
        <b/>
        <color rgb="FF1155CC"/>
        <u/>
      </rPr>
      <t>www.magosmanimedical.com</t>
    </r>
  </si>
  <si>
    <t>Dhaka Dental College</t>
  </si>
  <si>
    <t>Dhaka Dental College বাংলাদেশের একমাত্র পূর্ণাঙ্গ সরকারি ডেন্টাল কলেজ হিসেবে বিশেষ মর্যাদাসম্পন্ন একটি প্রতিষ্ঠান, যা ঢাকার মিরপুর-১৪ এলাকায় অবস্থিত এবং দেশের দন্তশিক্ষা, oral health service ও dental professional development-এর ক্ষেত্রে কেন্দ্রীয় ভূমিকা পালন করে। একটি স্বতন্ত্র ডেন্টাল কলেজ হওয়ার কারণে এর একাডেমিক কাঠামো সম্পূর্ণভাবে দন্তচিকিৎসা ও oral science-কেন্দ্রিক, যা অনেক dental unit-এর তুলনায় এটিকে আরও বিশেষায়িত পরিচয় দেয়। এখানে dental anatomy, oral pathology, prosthodontics, orthodontics, periodontology, operative dentistry, community dentistry, oral surgery এবং dental materials-এর মতো বিভিন্ন শাখায় পর্যায়ক্রমিক শিক্ষা ও প্রশিক্ষণ পরিচালিত হয়। সরকারি কলেজ হওয়ায় এর ভর্তি প্রতিযোগিতা, ডিগ্রির মর্যাদা এবং পেশাগত গ্রহণযোগ্যতা অত্যন্ত শক্তিশালী। একজন শিক্ষার্থীর জন্য Dhaka Dental College-এর সবচেয়ে বড় সুবিধা হলো এর specialized identity—অর্থাৎ এখানে শুরু থেকেই একজন শিক্ষার্থী নিজেকে dentist হিসেবে গড়ে তোলার জন্য উপযোগী পরিবেশ পায়। মিরপুরে অবস্থিত হওয়ায় এটি রাজধানীর healthcare ecosystem-এর সঙ্গে ঘনিষ্ঠভাবে যুক্ত, এবং বিভিন্ন ধরনের রোগী, নগর dental need, জনস্বাস্থ্যসংক্রান্ত oral care challenge এবং clinical exposure শিক্ষার্থীদের জ্ঞানকে বাস্তবভিত্তিক করে তোলে। এর সহশিক্ষা কার্যক্রম, alumni cell, সাংগঠনিক কাঠামো এবং শিক্ষক-প্রশিক্ষকভিত্তিক একাডেমিক ব্যবস্থা দেখায় যে প্রতিষ্ঠানটি কেবল পাঠদানেই সীমাবদ্ধ নয়; বরং ভবিষ্যৎ dental leadership, communication skill, সামাজিক সম্পৃক্ততা এবং পেশাগত শৃঙ্খলাও গড়ে তুলতে চায়। আজকের দিনে dentistry কেবল দাঁত তোলা বা filling-এ সীমিত নয়; aesthetic dentistry, preventive oral care, pediatric dental care, prosthetic rehabilitation, public oral health awareness, maxillofacial সহযোগিতা এবং evidence-based practice—সবকিছুর সমন্বয়ে এই পেশা অনেক বিস্তৃত হয়েছে। Dhaka Dental College-এর শিক্ষার্থীরা সেই বিস্তৃত, আধুনিক এবং professional dental world-এর জন্য নিজেদের প্রস্তুত করতে পারে। যারা সরকারি পর্যায়ে সবচেয়ে specialized dental education institution-এ পড়তে চায় এবং দীর্ঘমেয়াদে dentist, শিক্ষক, গবেষক বা public oral health professional হিসেবে ক্যারিয়ার গড়তে আগ্রহী, তাদের জন্য Dhaka Dental College নিঃসন্দেহে অন্যতম সেরা ও মর্যাদাপূর্ণ পছন্দ।</t>
  </si>
  <si>
    <t>DDC</t>
  </si>
  <si>
    <t>Mirpur-14, Dhaka-1206</t>
  </si>
  <si>
    <t>ddcbatchd51@gmail.com</t>
  </si>
  <si>
    <t>www.ddc.gov.bd</t>
  </si>
  <si>
    <t>Chattogram Medical College Dental Unit</t>
  </si>
  <si>
    <t>Chattogram Medical College Dental Unit চট্টগ্রাম মেডিকেল কলেজের ঐতিহ্যবাহী চিকিৎসা-শিক্ষা পরিবেশের অংশ হিসেবে দক্ষিণ-পূর্বাঞ্চলের একটি গুরুত্বপূর্ণ সরকারি দন্তশিক্ষা ইউনিট। চট্টগ্রাম মেডিকেল কলেজ নিজেই দেশের অন্যতম পুরোনো ও সুপরিচিত মেডিকেল কলেজ হওয়ায় এর Dental Unit-ও সেই বৃহত্তর ঐতিহ্য, clinical strength এবং academic discipline-এর অংশীদার। বিভাগীয় তথ্য অনুযায়ী Dental Anatomy-সহ দন্তশিক্ষা-সম্পর্কিত একাধিক একাডেমিক শাখার উপস্থিতি রয়েছে, যা এ ইউনিটকে একটি সংগঠিত dental teaching environment হিসেবে চিহ্নিত করে। একজন শিক্ষার্থীর জন্য এখানে পড়ার সবচেয়ে বড় আকর্ষণ হলো—এটি একটি বড় সরকারি মেডিকেল কলেজের অন্তর্ভুক্ত হওয়ায় dental science শেখার পাশাপাশি বৃহত্তর medical ecosystem-এর সঙ্গেও যুক্ত থাকা যায়। চট্টগ্রাম একটি বৃহৎ বন্দরনগরী হওয়ায় এখানে রোগীর বৈচিত্র্য, সামাজিক-অর্থনৈতিক বৈচিত্র্য এবং নগর health burden dental শিক্ষাকে আরও বাস্তব ও সমৃদ্ধ করে। দন্তচিকিৎসা এমন একটি পেশা যেখানে সূক্ষ্ম কাজের দক্ষতা, সমস্যা বিশ্লেষণ, patient counselling, infection control, restorative care এবং oral surgery exposure গুরুত্বপূর্ণ; Chattogram Medical College Dental Unit এই সব দক্ষতা অর্জনের জন্য একটি অনুকূল সরকারি পরিবেশ দেয়। পাশাপাশি একটি ঐতিহ্যবাহী প্রতিষ্ঠানের অংশ হওয়ায় শিক্ষার্থীরা institution-based confidence, professional identity এবং long-term recognition-এর বাড়তি সুবিধাও পায়। যারা দক্ষিণ-পূর্বাঞ্চলে সরকারি dental education নিতে চায় এবং established clinical setting-এর মধ্যে থেকে oral health profession-এ নিজেদের গড়তে আগ্রহী, তাদের জন্য Chattogram Medical College Dental Unit অত্যন্ত তাৎপর্যপূর্ণ, মর্যাদাপূর্ণ এবং ব্যবহারিক শিক্ষার একটি শক্তিশালী ক্ষেত্র।</t>
  </si>
  <si>
    <t>CMC-DU</t>
  </si>
  <si>
    <t>57, K.B. Fazlul Kader Road, Chattogram</t>
  </si>
  <si>
    <t>info@cmc.edu.bd</t>
  </si>
  <si>
    <t>www.cmc.edu.bd</t>
  </si>
  <si>
    <t>12.Nursing Colleges</t>
  </si>
  <si>
    <t>Sylhet Nursing College, Sylhet</t>
  </si>
  <si>
    <t>Sylhet Nursing College, Sylhet সিলেট অঞ্চলের নার্সিং শিক্ষার একটি গুরুত্বপূর্ণ প্রতিষ্ঠান, যা ভবিষ্যৎ পেশাদার নার্স, সেবাকর্মী এবং স্বাস্থ্যব্যবস্থার মানবিক মুখ গড়ে তুলতে গুরুত্বপূর্ণ ভূমিকা রাখে। নার্সিং শিক্ষা কেবল একটি পেশাগত কোর্স নয়; এটি মানুষের পাশে দাঁড়ানো, অসুস্থতার সময় সহমর্মিতা দেখানো, চিকিৎসকের নির্দেশনা বাস্তবায়ন করা, রোগীর নিরাপত্তা নিশ্চিত করা এবং স্বাস্থ্যসেবাকে বাস্তব স্তরে পৌঁছে দেওয়ার প্রশিক্ষণ। Sylhet Nursing College-এর মতো প্রতিষ্ঠানগুলোর বড় শক্তি হলো, এখানে শিক্ষার্থীরা theoretical nursing science-এর পাশাপাশি bedside care, patient monitoring, hospital etiquette, infection prevention, emergency response এবং community-based health understanding-এর মতো বাস্তবমুখী বিষয় শেখে। সিলেট অঞ্চলে অবস্থিত হওয়ায় এটি স্থানীয় শিক্ষার্থীদের জন্য nursing education-কে অনেক বেশি সহজপ্রাপ্য করেছে, এবং উত্তর-পূর্বাঞ্চলের স্বাস্থ্যখাতে দক্ষ নার্স তৈরির ক্ষেত্রেও সহায়ক হয়েছে। একজন শিক্ষার্থীর কাছে এই কলেজের মূল্য এখানে যে, নার্সিংকে কেবল চাকরির একটি পথ হিসেবে নয়, বরং সেবা, দক্ষতা, দায়িত্ববোধ এবং মানবিকতার সমন্বয়ে গড়া একটি পেশা হিসেবে চর্চা করা যায়। আধুনিক স্বাস্থ্যব্যবস্থায় নার্সদের ভূমিকা শুধু patient care-এ সীমাবদ্ধ নয়; তারা critical care, maternity service, community health, public health awareness, hospital management support এবং interdisciplinary clinical team-এরও গুরুত্বপূর্ণ অংশ। তাই Sylhet Nursing College-এ পড়াশোনা একজন শিক্ষার্থীর জন্য একটি দৃঢ় professional identity গড়ে তুলতে সাহায্য করতে পারে। যারা healthcare profession-এ যেতে চায় কিন্তু medicine-এর পরিবর্তে patient-centred, service-based, highly respected and globally relevant একটি পথ বেছে নিতে চায়, তাদের জন্য Sylhet Nursing College একটি অর্থবহ ও সম্ভাবনাময় প্রতিষ্ঠান।</t>
  </si>
  <si>
    <t>SNC</t>
  </si>
  <si>
    <t>snc@dgnm.gov.bd</t>
  </si>
  <si>
    <t>https://dgnm.gov.bd</t>
  </si>
  <si>
    <t>http://bnmc.teletalk.com.bd</t>
  </si>
  <si>
    <t>Rangpur Nursing College, Rangpur</t>
  </si>
  <si>
    <t>Rangpur Nursing College, Rangpur উত্তরবঙ্গে নার্সিং শিক্ষার একটি গুরুত্বপূর্ণ নাম, যা nursing profession-এ আগ্রহী শিক্ষার্থীদের জন্য আঞ্চলিক পর্যায়ে একটি সুসংগঠিত শিক্ষা-পরিবেশ তৈরি করেছে। স্বাস্থ্যসেবার ক্ষেত্রে নার্সের ভূমিকা অত্যন্ত কেন্দ্রীয়, কারণ হাসপাতাল, কমিউনিটি, মাতৃসেবা, শিশুস্বাস্থ্য, জরুরি চিকিৎসা এবং রোগী-পর্যবেক্ষণ—সব ক্ষেত্রেই দক্ষ নার্স অপরিহার্য। এই প্রেক্ষাপটে Rangpur Nursing College-এর মতো একটি প্রতিষ্ঠান উত্তরাঞ্চলে নার্সিং শিক্ষার সুযোগ বৃদ্ধি করে স্বাস্থ্যখাতের মানবসম্পদ উন্নয়নে ভূমিকা রাখে। একজন শিক্ষার্থীর জন্য এই কলেজে পড়ার অর্থ হলো শুধু একটি ডিগ্রি নেওয়া নয়; বরং patient care, compassion, clinical discipline, monitoring skill, communication ability এবং nursing ethics-এর সমন্বয়ে নিজেকে গড়ে তোলা। রংপুর অঞ্চলের আঞ্চলিক হাসপাতাল-সংযুক্ত বাস্তবতা, সরকারি স্বাস্থ্যব্যবস্থার প্রয়োজন এবং জনস্বাস্থ্যচাহিদার সঙ্গে nursing education-কে যুক্ত করে দেখার সুযোগ এই প্রতিষ্ঠানের বিশেষ শক্তি হতে পারে। যারা নার্সিংকে একটি সম্মানজনক, মানবিক এবং কর্মমুখী পেশা হিসেবে দেখে এবং নিজ অঞ্চলের কাছাকাছি থেকে সেই প্রস্তুতি নিতে চায়, তাদের জন্য Rangpur Nursing College একটি উল্লেখযোগ্য বিকল্প। নার্সিং পেশার বিশ্বব্যাপী চাহিদা, দেশীয় স্বাস্থ্যখাতে এর ক্রমবর্ধমান গুরুত্ব এবং নারী-পুরুষ উভয়ের জন্য এ পেশার বিস্তৃত ক্ষেত্র বিবেচনায় এ ধরনের কলেজে পড়াশোনা অত্যন্ত সময়োপযোগী সিদ্ধান্ত হতে পারে।</t>
  </si>
  <si>
    <t>RpNC</t>
  </si>
  <si>
    <t>rpnc@dgnm.gov.bd</t>
  </si>
  <si>
    <t>Rajshahi Nursing College, Rajshahi</t>
  </si>
  <si>
    <t>Rajshahi Nursing College, Rajshahi রাজশাহী মেডিকেল কলেজ ক্যাম্পাসের ভেতরে অবস্থিত এবং উত্তরাঞ্চলে নার্সিং শিক্ষার একটি ঐতিহাসিক ও গুরুত্বপূর্ণ সরকারি প্রতিষ্ঠান হিসেবে পরিচিত। এর শিকড় ১৯৬১ সালের সেবিকা প্রশিক্ষণ কেন্দ্র পর্যন্ত পৌঁছে যায় এবং পরবর্তীতে ধাপে ধাপে বর্তমান নার্সিং কলেজে উন্নীত হয়, যা দেখায় যে প্রতিষ্ঠানটি nursing education-এর দীর্ঘ অভিজ্ঞতা ও প্রাতিষ্ঠানিক ভিত্তি বহন করে। এখানে basic BSc in Nursing, diploma in midwifery এবং post-basic education-সংশ্লিষ্ট কাঠামোর উপস্থিতি সম্পর্কে নির্ভরযোগ্য জনতথ্যে উল্লেখ রয়েছে, যা এটির বহুমাত্রিক নার্সিং-একাডেমিক চরিত্রকে প্রকাশ করে। একজন শিক্ষার্থীর জন্য এ কলেজের গুরুত্ব অনেক, কারণ এটি একটি বড় medical campus-এর অংশ; ফলে nursing education এখানে isolated নয়, বরং clinical hospital environment, real patient care, medical teamwork এবং healthcare system-এর বাস্তবতার সঙ্গে সংযুক্ত। রাজশাহী মেডিকেল কলেজ হাসপাতালসংলগ্ন অবস্থান শিক্ষার্থীদের nursing skill, ward management, patient communication, maternity care, community understanding এবং hospital discipline-এর ব্যবহারিক অভিজ্ঞতা অর্জনে সহায়ক হতে পারে। সাম্প্রতিক সময়ে শিক্ষার্থীসংক্রান্ত কিছু অস্থিরতার সংবাদ প্রকাশিত হলেও, দীর্ঘ ঐতিহ্য, শক্তিশালী ক্যাম্পাসভিত্তিক অবস্থান এবং nursing profession-এ এর ভূমিকা এই প্রতিষ্ঠানকে এখনও তাৎপর্যপূর্ণ করে রাখে। যারা সরকারি nursing education, clinical attachment এবং ঐতিহ্যবাহী medical campus culture-এর মধ্যে থেকে professional nurse হিসেবে নিজেদের গড়তে চায়, তাদের জন্য Rajshahi Nursing College একটি গুরুত্বপূর্ণ, বাস্তবমুখী এবং পেশাগতভাবে অর্থবহ প্রতিষ্ঠান।</t>
  </si>
  <si>
    <t>RNC</t>
  </si>
  <si>
    <t>Laxmipur, Rajshahi</t>
  </si>
  <si>
    <t>rnc@dgnm.gov.bd</t>
  </si>
  <si>
    <t>Nursing Colleges</t>
  </si>
  <si>
    <t>Nursing Institute, Thakurgaon</t>
  </si>
  <si>
    <t>Nursing Institute, Thakurgaon সম্পর্কে প্রকাশ্য নির্ভরযোগ্য সরকারি তথ্য তুলনামূলকভাবে সীমিত, তবে এটি ঠাকুরগাঁও অঞ্চলে নার্সিং শিক্ষার একটি পরিচিত নাম হিসেবে বিভিন্ন জনতথ্যভিত্তিক তালিকা ও প্রাতিষ্ঠানিক উল্লেখে পাওয়া যায়। এ ধরনের nursing institute-এর সবচেয়ে বড় গুরুত্ব হলো, এটি এমন শিক্ষার্থীদের জন্য পথ তৈরি করে যারা বড় শহরে না গিয়েও healthcare profession-এ প্রবেশ করতে চায়। নার্সিং শিক্ষা স্বভাবতই খুবই প্রয়োগমুখী; এখানে শুধু anatomical knowledge বা রোগতত্ত্ব জানলেই হয় না, বরং bedside care, মানবিকতা, patient safety, medication support, emergency awareness, record keeping, maternity and child care, community health education এবং professional discipline—এসব কিছুতে প্রশিক্ষিত হতে হয়। Thakurgaon-এর মতো অঞ্চলে একটি nursing institute থাকার অর্থ হলো স্থানীয় পর্যায়ে নার্সিং শিক্ষা প্রসারিত হওয়া এবং জেলা বা বিভাগভিত্তিক স্বাস্থ্যসেবার জন্য দক্ষ সেবাকর্মী গড়ে ওঠার সুযোগ তৈরি হওয়া। একজন শিক্ষার্থীর জন্য এই ধরনের প্রতিষ্ঠান বেছে নেওয়ার বড় সুবিধা হলো regional accessibility, comparatively lower relocation burden এবং local health context-এর মধ্যে থেকেই professional training নেওয়া। যদিও এ প্রতিষ্ঠানের পূর্ণাঙ্গ অফিসিয়াল একাডেমিক কাঠামো ওয়েবে সুস্পষ্ট নয়, তবু nursing profession-এ আগ্রহী শিক্ষার্থীদের জন্য এটি একটি সম্ভাবনাময় আঞ্চলিক বিকল্প হিসেবে বিবেচ্য। ভর্তি বা চূড়ান্ত সিদ্ধান্ত নেওয়ার আগে অবশ্যই প্রতিষ্ঠানের বর্তমান স্বীকৃতি, কোর্সের ধরন, clinical attachment, hostel, faculty support এবং BNMC-related status সরাসরি যাচাই করা উচিত। তবুও, উত্তরাঞ্চলে নার্সিং পেশায় প্রবেশের জন্য Nursing Institute, Thakurgaon-এর মতো প্রতিষ্ঠানগুলোর মূল্য অস্বীকার করা যায় না, কারণ এগুলো স্থানীয় তরুণদের জন্য স্বাস্থ্যসেবা-ভিত্তিক পেশাগত ভবিষ্যৎ গড়ার বাস্তব সুযোগ তৈরি করে।</t>
  </si>
  <si>
    <t>NITH</t>
  </si>
  <si>
    <t>Thakurgaon-5100</t>
  </si>
  <si>
    <t>nithakurgaon@dgnm.gov.bd</t>
  </si>
  <si>
    <t>Nursing Institute, Tangail</t>
  </si>
  <si>
    <t>Nursing Institute, Tangail টাঙ্গাইল অঞ্চলে নার্সিং পেশায় আগ্রহী শিক্ষার্থীদের জন্য একটি গুরুত্বপূর্ণ আঞ্চলিক সুযোগ হিসেবে বিবেচিত হয়, কারণ জেলা পর্যায়ে এ ধরনের প্রতিষ্ঠান স্বাস্থ্যখাতের বাস্তব মানবসম্পদ চাহিদা পূরণে বড় ভূমিকা রাখে। নার্সিং শিক্ষা এমন একধরনের পেশাগত প্রস্তুতি, যেখানে technical skill এবং human care—দুইটি সমানভাবে গুরুত্বপূর্ণ। একজন নার্সকে শুধু রোগীর ওষুধ বা চিকিৎসা-নির্দেশনা অনুসরণ করলেই হয় না; তাকে রোগীর মানসিক অবস্থা বুঝতে হয়, চিকিৎসক ও পরিবারকে সমন্বয় করতে হয়, স্বাস্থ্যবিধি বজায় রাখতে হয়, জরুরি পরিস্থিতিতে দ্রুত সাড়া দিতে হয় এবং রোগীর সার্বিক নিরাপত্তা নিশ্চিত করতে হয়। Tangail-এর মতো জেলায় nursing institute থাকার অর্থ হলো স্থানীয় শিক্ষার্থীরা nursing profession-এ প্রবেশের জন্য তুলনামূলকভাবে সহজ ও সাশ্রয়ী একটি পথ পায়। যদিও এ প্রতিষ্ঠানের বিস্তারিত অফিসিয়াল ওয়েবতথ্য সীমিতভাবে দৃশ্যমান, তবু nursing institute-ধর্মী প্রতিষ্ঠানের সাধারণ একাডেমিক দর্শন হলো diploma বা সংশ্লিষ্ট নার্সিং কোর্সের মাধ্যমে hands-on clinical competence গড়ে তোলা। একজন শিক্ষার্থীর জন্য এ ধরনের প্রতিষ্ঠানে পড়াশোনার বড় শক্তি হলো—এখানে শুরু থেকেই সে স্বাস্থ্যসেবার বাস্তব জগৎকে কেন্দ্র করে নিজেকে গড়ে তুলতে পারে। ভবিষ্যতে সরকারি হাসপাতাল, বেসরকারি ক্লিনিক, maternity service, community healthcare, primary health program বা international nursing pathway—বিভিন্ন ক্ষেত্রেই এ ধরনের শিক্ষার মূল্য আছে। যারা doctor-centered career-এর বিকল্প হিসেবে patient-centred, service-based, globally valuable একটি পেশা হিসেবে নার্সিংকে দেখতে চায়, তাদের জন্য Nursing Institute, Tangail একটি বিবেচনাযোগ্য ও সম্ভাবনাময় পথ।</t>
  </si>
  <si>
    <t>NIT</t>
  </si>
  <si>
    <t>nitangail@dgnm.gov.bd</t>
  </si>
  <si>
    <t>Nursing Institute, Sirajgonj</t>
  </si>
  <si>
    <t>Nursing Institute, Sirajগঞ্জ আঞ্চলিক স্বাস্থ্যব্যবস্থায় দক্ষ নার্স তৈরির একটি গুরুত্বপূর্ণ সম্ভাবনাময় প্রতিষ্ঠান হিসেবে বিবেচিত হতে পারে, বিশেষত সিরাজগঞ্জ ও আশপাশের শিক্ষার্থীদের জন্য যারা নিজ জেলার কাছাকাছি থেকে নার্সিং শিক্ষা নিতে চায়। নার্সিং পেশা আজকের স্বাস্থ্যসেবায় একেবারেই কেন্দ্রীয়, কারণ চিকিৎসক, হাসপাতাল, রোগী এবং পরিবার—এই চারটি স্তরের মধ্যে সমন্বয় ঘটাতে নার্সদের ভূমিকা অত্যন্ত গুরুত্বপূর্ণ। একটি nursing institute সাধারণত শিক্ষার্থীদের এমনভাবে গড়ে তোলে যাতে তারা basic medical understanding, patient care, ward-based discipline, hygiene control, maternal and child support, public health awareness এবং community-level service—সব ক্ষেত্রেই কার্যকর হতে পারে। Sirajগঞ্জের মতো জনবহুল ও স্বাস্থ্যসেবার দিক থেকে ক্রমবর্ধমান অঞ্চলে একটি nursing institute-এর উপস্থিতি স্থানীয় স্বাস্থ্যব্যবস্থাকে শক্তিশালী করতে পারে। একজন শিক্ষার্থীর জন্য এর প্রধান সুবিধা হলো, nursing education তাকে comparatively short-to-medium professional route-এর মধ্যে থেকে একটি সম্মানজনক স্বাস্থ্যসেবা পেশায় প্রবেশের সুযোগ দেয়। যারা আর্থিক, ভৌগোলিক বা পারিবারিক কারণে বড় শহরে যেতে পারে না, তাদের জন্য স্থানীয় institute-ভিত্তিক nursing training বিশেষভাবে অর্থবহ। যদিও এ প্রতিষ্ঠানের বিস্তৃত সরকারি অফিসিয়াল তথ্য ওয়েবে সহজলভ্য নয়, তবু nursing institute হিসেবে এর ভূমিকা মূলত health workforce development, skill-based learning এবং patient-oriented professionalism গড়ে তোলার মধ্যে নিহিত। ভর্তি-পূর্ব সিদ্ধান্তের আগে প্রতিষ্ঠানের বর্তমান প্রশাসনিক অবস্থা, clinical facility linkage, BNMC recognition এবং কোর্সের ধরন যাচাই করা অবশ্যই জরুরি; তারপরও, নার্সিং পেশায় যেতে ইচ্ছুক শিক্ষার্থীদের জন্য Nursing Institute, Sirajগঞ্জ-এর মতো আঞ্চলিক প্রতিষ্ঠানগুলো অত্যন্ত মূল্যবান ও সামাজিকভাবে তাৎপর্যপূর্ণ।</t>
  </si>
  <si>
    <t>NIS</t>
  </si>
  <si>
    <t>nisirajganj@dgnm.gov.bd</t>
  </si>
  <si>
    <t>Nursing Institute, Sherpur</t>
  </si>
  <si>
    <t>Nursing Institute, Sherpur শেরপুর অঞ্চলে নার্সিং পেশায় আগ্রহী শিক্ষার্থীদের জন্য একটি সম্ভাবনাময় আঞ্চলিক শিক্ষার পথ হিসেবে দেখা যেতে পারে, বিশেষত এমন শিক্ষার্থীদের জন্য যারা স্বাস্থ্যসেবার সঙ্গে সরাসরি যুক্ত, মানবিক এবং পেশাগতভাবে সম্মানজনক একটি ক্ষেত্র বেছে নিতে চায়। নার্সিং শিক্ষা মূলত সেবা, শৃঙ্খলা, দক্ষতা ও দায়িত্ববোধের সমন্বয়ে গঠিত। একজন ভালো নার্সকে রোগীর শারীরিক ও মানসিক অবস্থা বোঝতে হয়, চিকিৎসা-দলের অংশ হিসেবে কাজ করতে হয়, ward বা community health setting-এ কার্যকর থাকতে হয় এবং রোগীসেবার প্রতিটি ধাপে মানবিক সংবেদনশীলতা বজায় রাখতে হয়। শেরপুরের মতো জেলায় এ ধরনের nursing institute-এর মূল্য হলো—এটি স্থানীয় পর্যায়ে স্বাস্থ্যখাতে প্রবেশের একটি বাস্তবসম্মত সুযোগ তৈরি করে, বিশেষ করে যেসব শিক্ষার্থী বড় শহরে না গিয়েও professional training নিতে চায়। nursing profession-এর আন্তর্জাতিক ও দেশীয় দু’ধরনেরই চাহিদা বাড়ছে; ফলে এ ধরনের প্রতিষ্ঠানে পড়াশোনা ভবিষ্যৎ কর্মসংস্থানের দিক থেকেও অর্থবহ হতে পারে। যদিও প্রকাশ্য অফিসিয়াল ওয়েবতথ্য সীমিত, তবু একটি nursing institute-এর শিক্ষাগত দর্শন সাধারণত একই—প্রশিক্ষিত, সহানুভূতিশীল, পর্যবেক্ষণক্ষম এবং patient-centred health professional তৈরি করা। একজন শিক্ষার্থীর কাছে এই ধরনের প্রতিষ্ঠানের সবচেয়ে বড় শক্তি হলো, এখানে comparatively দ্রুত স্বাস্থ্যখাতে professional entry-এর পথ তৈরি হয়। যারা নার্সিংকে সেবা, পেশা এবং সামাজিক মর্যাদার একটি সমন্বিত ক্ষেত্র হিসেবে দেখে এবং শেরপুর বা আশপাশে থেকেই সেই পথে অগ্রসর হতে চায়, তাদের জন্য Nursing Institute, Sherpur একটি বিবেচনাযোগ্য ও সম্ভাবনাময় নাম।</t>
  </si>
  <si>
    <t>NISH</t>
  </si>
  <si>
    <t>Sherpur-2100</t>
  </si>
  <si>
    <t>nisherpur@dgnm.gov.bd</t>
  </si>
  <si>
    <t>Nursing Institute, Satkhira</t>
  </si>
  <si>
    <t>Nursing Institute, Satkhira সাতক্ষীরা অঞ্চলে নার্সিং শিক্ষার একটি গুরুত্বপূর্ণ আঞ্চলিক কেন্দ্র হিসেবে বিবেচিত, যেখানে একজন শিক্ষার্থী স্বাস্থ্যসেবা, রোগীসেবা, ওয়ার্ড ম্যানেজমেন্ট, জনস্বাস্থ্য সচেতনতা এবং পেশাগত শৃঙ্খলার ভিত্তিমূলক শিক্ষা অর্জনের সুযোগ পেতে পারে। এই ধরনের নার্সিং ইনস্টিটিউটের সবচেয়ে বড় শক্তি হলো, এটি শিক্ষার্থীকে comparatively কম সময়ে একটি সম্মানজনক, দক্ষতা-নির্ভর এবং মানবিক পেশায় প্রবেশের পথ তৈরি করে দেয়। উপকূলঘেঁষা দক্ষিণ-পশ্চিমাঞ্চলের স্বাস্থ্যচাহিদা, maternal care, community health এবং hospital-based service-এর বাস্তবতার সঙ্গে তাল মিলিয়ে এই প্রতিষ্ঠান ভবিষ্যৎ নার্সদের গড়ে তুলতে সহায়ক হতে পারে। যারা মানুষের পাশে দাঁড়ানো, শৃঙ্খলাপূর্ণ পেশাজীবন এবং স্বাস্থ্যখাতে বাস্তব অবদান রাখতে চায়, তাদের জন্য Nursing Institute, Satkhira একটি অর্থবহ ও সম্ভাবনাময় বিকল্প।</t>
  </si>
  <si>
    <t>NISAT</t>
  </si>
  <si>
    <t>nisatkhira@dgnm.gov.bd</t>
  </si>
  <si>
    <t>Nursing Institute, Rangamati</t>
  </si>
  <si>
    <t>Nursing Institute, Rangamati পার্বত্য চট্টগ্রামের মতো ভৌগোলিকভাবে স্বতন্ত্র অঞ্চলে নার্সিং শিক্ষার একটি মূল্যবান সুযোগ তৈরি করে, যেখানে একজন শিক্ষার্থী শুধুমাত্র পেশাগত প্রশিক্ষণই নয়, বরং পাহাড়ি ও আঞ্চলিক স্বাস্থ্যবাস্তবতার সঙ্গে সংযুক্ত মানবিক স্বাস্থ্যসেবার ধারণাও অর্জন করতে পারে। নার্সিং পেশা এখানে বিশেষ তাৎপর্যপূর্ণ, কারণ দূরবর্তী ও বৈচিত্র্যময় জনগোষ্ঠীর স্বাস্থ্যসেবায় দক্ষ নার্সের ভূমিকা অত্যন্ত গুরুত্বপূর্ণ। এই ইনস্টিটিউটে পড়াশোনা একজন শিক্ষার্থীকে patient care, emergency response, community support এবং clinical discipline-এর মতো বাস্তব দক্ষতার দিকে এগিয়ে নিতে পারে। যারা স্বাস্থ্যসেবাকে পেশা ও মানবিক দায়িত্ব—দুই হিসেবেই দেখতে চায়, তাদের জন্য Nursing Institute, Rangamati একটি গুরুত্বপূর্ণ আঞ্চলিক প্রতিষ্ঠান।</t>
  </si>
  <si>
    <t>NIRM</t>
  </si>
  <si>
    <t>nirangamati@dgnm.gov.bd</t>
  </si>
  <si>
    <t>Nursing Institute, Rajbari</t>
  </si>
  <si>
    <t>Nursing Institute, Rajbari রাজবাড়ী অঞ্চলের শিক্ষার্থীদের জন্য নার্সিং শিক্ষায় প্রবেশের একটি গুরুত্বপূর্ণ আঞ্চলিক পথ, যেখানে স্বাস্থ্যসেবা-ভিত্তিক পেশাগত শিক্ষা, রোগীর প্রতি সহমর্মিতা, চিকিৎসা-সহায়ক দায়িত্ব এবং hospital-oriented practical understanding একসঙ্গে গড়ে ওঠার সুযোগ থাকে। নার্সিং শিক্ষা এমন একটি ক্ষেত্র, যেখানে theoretical knowledge-এর পাশাপাশি hands-on care, monitoring, patient communication এবং professional ethics সমান গুরুত্ব পায়। রাজবাড়ীর মতো জেলায় এ ধরনের একটি প্রতিষ্ঠান স্থানীয় শিক্ষার্থীদের জন্য বড় শহরে না গিয়েও সম্মানজনক স্বাস্থ্যপেশায় যুক্ত হওয়ার সুযোগ তৈরি করে। যারা nursing profession-কে মানবিকতা, কর্মসংস্থান এবং সামাজিক মর্যাদার সমন্বিত ক্ষেত্র হিসেবে দেখতে চায়, তাদের জন্য Nursing Institute, Rajbari একটি ব্যবহারিক ও সম্ভাবনাময় পছন্দ।</t>
  </si>
  <si>
    <t>NIRB</t>
  </si>
  <si>
    <t>Rajbari-7700</t>
  </si>
  <si>
    <t>nirajbari@dgnm.gov.bd</t>
  </si>
  <si>
    <t>Nursing Institute, Pirojpur</t>
  </si>
  <si>
    <t>Nursing Institute, Pirojpur পিরোজপুর অঞ্চলে নার্সিং শিক্ষার একটি তাৎপর্যপূর্ণ নাম, যা স্বাস্থ্যখাতে আগ্রহী শিক্ষার্থীদের জন্য patient care, clinical skill, community health awareness এবং service-oriented professionalism গড়ে তোলার সুযোগ তৈরি করে। দক্ষিণাঞ্চলের প্রেক্ষাপটে নার্সিং পেশার গুরুত্ব অত্যন্ত বেশি, কারণ জেলা ও উপজেলা পর্যায়ে দক্ষ নার্স ছাড়া মানসম্মত স্বাস্থ্যসেবা নিশ্চিত করা কঠিন। এই ধরনের ইনস্টিটিউটে পড়লে একজন শিক্ষার্থী রোগী পর্যবেক্ষণ, basic clinical support, emergency sensitivity, maternity care এবং জনস্বাস্থ্যসচেতনতার মতো দক্ষতা অর্জনের দিকে অগ্রসর হয়। যারা বাস্তবমুখী, সম্মানজনক এবং সমাজের জন্য কার্যকর একটি পেশা খুঁজছে, তাদের জন্য Nursing Institute, Pirojpur একটি ভাল সম্ভাবনার ক্ষেত্র।</t>
  </si>
  <si>
    <t>NIPIR</t>
  </si>
  <si>
    <t>Pirojpur-8500</t>
  </si>
  <si>
    <t>nipirojpur@dgnm.gov.bd</t>
  </si>
  <si>
    <t>Nursing Institute, Patuakhali</t>
  </si>
  <si>
    <t>Nursing Institute, Patuakhali উপকূলীয় দক্ষিণাঞ্চলের শিক্ষার্থীদের জন্য নার্সিং শিক্ষায় একটি গুরুত্বপূর্ণ প্রবেশদ্বার, যেখানে nursing profession-এর মূল গুণাবলি—সেবা, দায়িত্ববোধ, রোগীসুরক্ষা, ward-based discipline এবং community health orientation—ধাপে ধাপে গড়ে ওঠার সুযোগ থাকে। পটুয়াখালীর মতো অঞ্চলে স্বাস্থ্যসেবার সঙ্গে দুর্যোগ, মাতৃস্বাস্থ্য, শিশুসেবা ও প্রান্তিক জনগোষ্ঠীর চিকিৎসা-সহায়তার সম্পর্ক গভীর; ফলে এ অঞ্চলের একটি নার্সিং ইনস্টিটিউটের সামাজিক গুরুত্বও অনেক। একজন শিক্ষার্থীর জন্য এখানে পড়াশোনার বড় সুবিধা হলো, নিজ অঞ্চলের কাছাকাছি থেকেই একটি globally relevant এবং locally needed পেশায় প্রবেশের ভিত্তি তৈরি করা। যারা নার্সিংকে বাস্তব সেবা ও স্থিতিশীল ক্যারিয়ারের সমন্বয় হিসেবে দেখতে চায়, তাদের জন্য Nursing Institute, Patuakhali অত্যন্ত মূল্যবান হতে পারে।</t>
  </si>
  <si>
    <t>NIP</t>
  </si>
  <si>
    <t>nipatuakhali@dgnm.gov.bd</t>
  </si>
  <si>
    <t>Nursing Institute, Panchagarh</t>
  </si>
  <si>
    <t>Nursing Institute, Panchagarh পঞ্চগড় অঞ্চলে নার্সিং শিক্ষার একটি সম্ভাবনাময় প্রতিষ্ঠান, যা স্বাস্থ্যখাতে আগ্রহী তরুণ-তরুণীদের জন্য পেশাগত দক্ষতা ও মানবিক মূল্যবোধের সমন্বিত একটি পথ তৈরি করতে পারে। নার্সিং শিক্ষা কেবল চিকিৎসকের সহায়ক হওয়ার প্রশিক্ষণ নয়; এটি রোগীর শারীরিক ও মানসিক অবস্থা বোঝা, পরিচর্যার ধারাবাহিকতা বজায় রাখা, সংক্রমণ প্রতিরোধ, ওষুধ ব্যবস্থাপনা এবং জনস্বাস্থ্যসচেতনতা ছড়িয়ে দেওয়ার দক্ষতাও গড়ে তোলে। পঞ্চগড়ের মতো তুলনামূলক দূরবর্তী অঞ্চলে একটি নার্সিং ইনস্টিটিউট স্থানীয় শিক্ষার্থীদের জন্য অত্যন্ত তাৎপর্যপূর্ণ, কারণ এটি তাদের নিজ এলাকায় থেকেই স্বাস্থ্যখাতের একটি সম্মানজনক পেশায় প্রবেশের সুযোগ দেয়। যারা বাস্তবধর্মী ও মানবিক পেশা বেছে নিতে চায়, তাদের জন্য Nursing Institute, Panchagarh একটি বিবেচনাযোগ্য প্রতিষ্ঠান।</t>
  </si>
  <si>
    <t>NIPAN</t>
  </si>
  <si>
    <t>Panchagarh-5000</t>
  </si>
  <si>
    <t>nipanchagarh@dgnm.gov.bd</t>
  </si>
  <si>
    <t>Nursing Institute, Pabna</t>
  </si>
  <si>
    <t>Nursing Institute, Pabna পাবনা অঞ্চলে নার্সিংভিত্তিক পেশাগত শিক্ষার একটি গুরুত্বপূর্ণ কেন্দ্র, যেখানে একজন শিক্ষার্থী basic nursing science, patient care, clinical আচরণ, hospital routine এবং community-focused health support-এর ভিত্তিমূলক জ্ঞান অর্জনের সুযোগ পেতে পারে। নার্সিং পেশা বর্তমানে দেশি ও আন্তর্জাতিক—দুই ক্ষেত্রেই উচ্চচাহিদাসম্পন্ন; ফলে এই ধরনের প্রতিষ্ঠান থেকে প্রশিক্ষণ নেওয়া অনেক শিক্ষার্থীর জন্য স্থিতিশীল ও সম্মানজনক ক্যারিয়ারের দরজা খুলে দেয়। পাবনার স্বাস্থ্যসেবা বাস্তবতা, হাসপাতালনির্ভর চিকিৎসা এবং আঞ্চলিক রোগীচাহিদার সঙ্গে সংযুক্ত থেকে nursing education আরও ব্যবহারিক হয়ে উঠতে পারে। যারা যত্ন, সহমর্মিতা, শৃঙ্খলা এবং পেশাগত দক্ষতার সমন্বয়ে স্বাস্থ্যসেবায় যুক্ত হতে চায়, তাদের জন্য Nursing Institute, Pabna একটি তাৎপর্যপূর্ণ ও কার্যকর পছন্দ।</t>
  </si>
  <si>
    <t>NIPB</t>
  </si>
  <si>
    <t>Pabna-6600</t>
  </si>
  <si>
    <t>nipabna@dgnm.gov.bd</t>
  </si>
  <si>
    <t>Nursing Institute, Noakhali</t>
  </si>
  <si>
    <t>Nursing Institute, Noakhali নোয়াখালী অঞ্চলে নার্সিং শিক্ষার একটি আঞ্চলিক ভিত্তি তৈরি করে, যেখানে শিক্ষার্থীরা স্বাস্থ্যখাতের অত্যন্ত প্রয়োজনীয় একটি পেশায় প্রবেশের জন্য organized training পেতে পারে। নার্সিং শিক্ষা এখানে রোগীসেবা, ইনজেকশন ও ওষুধ ব্যবস্থাপনা, ward observation, hygiene control, community awareness এবং clinical discipline-এর মতো দক্ষতার ভিত্তি তৈরি করতে সহায়ক হতে পারে। দক্ষিণ-পূর্বাঞ্চলের জনবহুল বাস্তবতা এবং গ্রামীণ-শহুরে মিশ্র স্বাস্থ্যচাহিদা nursing profession-কে আরও প্রাসঙ্গিক করে তোলে। যারা এমন একটি পেশা বেছে নিতে চায় যেখানে মানবিক সেবা, কর্মসংস্থান এবং স্বাস্থ্যব্যবস্থায় বাস্তব অবদান—এই তিনটি একসঙ্গে আছে, তাদের জন্য Nursing Institute, Noakhali একটি যুক্তিযুক্ত ও সম্ভাবনাময় পথ।</t>
  </si>
  <si>
    <t>NIN</t>
  </si>
  <si>
    <t>ninoakhali@dgnm.gov.bd</t>
  </si>
  <si>
    <t>Nursing Institute, Nilphamari</t>
  </si>
  <si>
    <t>Nursing Institute, Nilphamari নীলফামারী জেলার শিক্ষার্থীদের জন্য নার্সিং শিক্ষায় প্রবেশের একটি গুরুত্বপূর্ণ স্থানীয় সুযোগ, যা স্বাস্থ্যখাতের জন্য দক্ষ ও সংবেদনশীল মানবসম্পদ তৈরি করতে সহায়ক হতে পারে। নার্সিং পেশার সবচেয়ে বড় শক্তি হলো এটি একই সঙ্গে প্রযুক্তিনির্ভর, সেবাভিত্তিক এবং সামাজিকভাবে অত্যন্ত গুরুত্বপূর্ণ। একজন শিক্ষার্থী এখানে পড়ে patient monitoring, basic clinical support, maternal and child care, emergency preparedness এবং health education-এর মতো দক্ষতা গড়ে তুলতে পারে। উত্তরাঞ্চলের একটি জেলায় থেকে এই ধরনের শিক্ষা গ্রহণের সুবিধা হলো ব্যয় ও দূরত্ব কমে যায়, আবার স্বাস্থ্যখাতের সঙ্গে নিজের সামাজিক সংযোগও বজায় থাকে। যারা স্বাস্থ্যসেবায় বাস্তব ভূমিকা রাখতে চায়, তাদের জন্য Nursing Institute, Nilphamari একটি মূল্যবান বিকল্প।</t>
  </si>
  <si>
    <t>NINIL</t>
  </si>
  <si>
    <t>ninilphamari@dgnm.gov.bd</t>
  </si>
  <si>
    <t>Nursing Institute, Netrokona</t>
  </si>
  <si>
    <t>Nursing Institute, Netrokona নেত্রকোনা অঞ্চলে স্বাস্থ্যসেবাভিত্তিক পেশাগত শিক্ষার একটি তাৎপর্যপূর্ণ নাম, যা নার্সিং পেশায় আগ্রহী শিক্ষার্থীদের জন্য district-based professional pathway তৈরি করতে পারে। nursing education-এর মূল দর্শন হলো মানুষকে সেবা করা, clinical discipline আয়ত্ত করা, রোগীর নিরাপত্তা নিশ্চিত করা এবং চিকিৎসা ব্যবস্থার দৈনন্দিন বাস্তবতায় দক্ষতার সঙ্গে কাজ করা। নেত্রকোনার মতো জেলায় এ ধরনের প্রতিষ্ঠান স্থানীয় তরুণদের জন্য খুবই গুরুত্বপূর্ণ, কারণ এটি বড় শহরে না গিয়েও সম্মানজনক healthcare profession-এ প্রবেশের সুযোগ দেয়। যারা patient care, community health ও মানবিক স্বাস্থ্যসেবাকে career হিসেবে বেছে নিতে চায়, তাদের জন্য Nursing Institute, Netrokona একটি সম্ভাবনাময় ও সামাজিকভাবে গুরুত্বপূর্ণ প্রতিষ্ঠান।</t>
  </si>
  <si>
    <t>NINET</t>
  </si>
  <si>
    <t>ninetrokona@dgnm.gov.bd</t>
  </si>
  <si>
    <t>Nursing Institute, Naogaon</t>
  </si>
  <si>
    <t>Nursing Institute, Naogaon নওগাঁ অঞ্চলে নার্সিং শিক্ষার একটি কার্যকর ভিত্তি হিসেবে বিবেচিত, যেখানে স্বাস্থ্যসেবা পেশায় যুক্ত হতে আগ্রহী শিক্ষার্থীরা basic nursing knowledge, practical care skill এবং patient-centred professionalism-এর দিকে অগ্রসর হওয়ার সুযোগ পেতে পারে। নার্সিং শিক্ষা এমন একটি ক্ষেত্র যেখানে তত্ত্বের পাশাপাশি ward duty, bedside আচরণ, রোগীর সুরক্ষা, medication support এবং health awareness—সবকিছু সমান গুরুত্বপূর্ণ। কৃষিনির্ভর ও জনবহুল আঞ্চলিক বাস্তবতায় দক্ষ নার্সের চাহিদা সবসময়ই থাকে, তাই নওগাঁয় এ ধরনের প্রতিষ্ঠানের সামাজিক মূল্যও অনেক। যারা সম্মানজনক, সেবামূলক এবং চাকরিমুখী পেশা খুঁজছে, তাদের জন্য Nursing Institute, Naogaon একটি বাস্তবভিত্তিক বিকল্প হতে পারে।</t>
  </si>
  <si>
    <t>NINAO</t>
  </si>
  <si>
    <t>ninaogaon@dgnm.gov.bd</t>
  </si>
  <si>
    <t>Nursing Institute, Munshigonj</t>
  </si>
  <si>
    <t>Nursing Institute, Munshigonj মুন্সীগঞ্জে নার্সিং শিক্ষার একটি গুরুত্বপূর্ণ আঞ্চলিক সুযোগ, যা স্বাস্থ্যসেবায় আগ্রহী শিক্ষার্থীদের জন্য district-based training environment তৈরি করে। নার্সিং পেশায় সফল হতে হলে কেবল তাত্ত্বিক পাঠ নয়, বরং রোগী পর্যবেক্ষণ, চিকিৎসা-সহায়ক কাজ, নিয়ম-শৃঙ্খলা, সংক্রমণ প্রতিরোধ এবং সহানুভূতিশীল ব্যবহারও অত্যন্ত গুরুত্বপূর্ণ। রাজধানীর নিকটবর্তী জেলা হওয়ায় মুন্সীগঞ্জের শিক্ষার্থীরা এ ধরনের nursing training-এর মাধ্যমে স্থানীয় ও বৃহত্তর healthcare network—দুই দিকেই ভবিষ্যৎ সুযোগ তৈরি করতে পারে। যারা মানুষের সেবা, স্বাস্থ্যক্ষেত্রে পেশাগত নিরাপত্তা এবং বাস্তবমুখী career path—এই তিনটিকে একসঙ্গে মূল্য দেয়, তাদের জন্য Nursing Institute, Munshigonj একটি বিবেচনাযোগ্য প্রতিষ্ঠান।</t>
  </si>
  <si>
    <t>NIMU</t>
  </si>
  <si>
    <t>Munshiganj-1500</t>
  </si>
  <si>
    <t>nimunshigonj@dgnm.gov.bd</t>
  </si>
  <si>
    <t>Nursing Institute, Moulavibazar</t>
  </si>
  <si>
    <t>Nursing Institute, Moulavibazar মৌলভীবাজার অঞ্চলে নার্সিং পেশার জন্য একটি আঞ্চলিক প্রশিক্ষণভিত্তিক পথ তৈরি করতে সাহায্য করে, যেখানে শিক্ষার্থীরা healthcare support, bedside nursing, patient-centred আচরণ এবং clinical discipline-এর ভিত্তি অর্জন করতে পারে। এই ধরনের ইনস্টিটিউটের মূল্য বিশেষভাবে বোঝা যায় তখন, যখন দেখা যায় স্বাস্থ্যব্যবস্থায় দক্ষ নার্স ছাড়া মানসম্পন্ন সেবা দেওয়া সম্ভব নয়। মৌলভীবাজারের ভৌগোলিক বৈচিত্র্য, tea garden area-সংলগ্ন সামাজিক বাস্তবতা এবং আঞ্চলিক health need নার্সিং পেশাকে আরও গুরুত্বপূর্ণ করে তোলে। যারা nursing education-এর মাধ্যমে সম্মানজনক, মানবিক এবং ক্রমবর্ধমান চাহিদাসম্পন্ন একটি পেশায় প্রবেশ করতে চায়, তাদের জন্য Nursing Institute, Moulavibazar একটি সম্ভাবনাময় আঞ্চলিক বিকল্প।</t>
  </si>
  <si>
    <t>NIMV</t>
  </si>
  <si>
    <t>Moulavibazar-3200</t>
  </si>
  <si>
    <t>nimoulavibazar@dgnm.gov.bd</t>
  </si>
  <si>
    <t>Nursing Institute, Mitford, Dhaka</t>
  </si>
  <si>
    <t>Nursing Institute, Mitford, Dhaka পুরান ঢাকার ঐতিহাসিক হাসপাতাল-অঞ্চলকেন্দ্রিক নার্সিং শিক্ষার একটি বিশেষ তাৎপর্যপূর্ণ নাম, কারণ মিটফোর্ড এলাকা দীর্ঘদিন ধরেই চিকিৎসা, হাসপাতাল এবং স্বাস্থ্যসেবা-সংক্রান্ত ঐতিহ্যের সঙ্গে যুক্ত। এই ধরনের nursing institute-এ পড়াশোনার সবচেয়ে বড় শক্তি হলো hospital-linked clinical exposure, patient diversity এবং নগরভিত্তিক health challenge-এর সরাসরি অভিজ্ঞতা। রাজধানীকেন্দ্রিক অবস্থানের কারণে শিক্ষার্থীরা এখানে nursing education-এর পাশাপাশি বড় চিকিৎসা-পরিবেশ, referral system এবং healthcare teamwork-এর সঙ্গে পরিচিত হতে পারে। যারা ঢাকায় থেকে nursing profession-এ প্রবেশ করতে চায় এবং practical training-কে বিশেষ গুরুত্ব দেয়, তাদের জন্য Nursing Institute, Mitford, Dhaka একটি তাৎপর্যপূর্ণ ও বাস্তবধর্মী প্রতিষ্ঠান।</t>
  </si>
  <si>
    <t>NIMD</t>
  </si>
  <si>
    <t>nimitford@dgnm.gov.bd</t>
  </si>
  <si>
    <t>Nursing Institute, Magura</t>
  </si>
  <si>
    <t>Nursing Institute, Magura মাগুরায় নার্সিংভিত্তিক পেশাগত শিক্ষার একটি গুরুত্বপূর্ণ নাম হিসেবে বিবেচিত, যা জেলা পর্যায়ে স্বাস্থ্যসেবা পেশায় যুক্ত হওয়ার একটি বাস্তব সুযোগ তৈরি করে। নার্সিং শিক্ষা এখানে এমনভাবে গুরুত্বপূর্ণ যে এটি একজন শিক্ষার্থীকে শুধু চাকরির জন্য নয়, বরং রোগীর পাশে দায়িত্বশীলভাবে কাজ করার মানসিকতা, hospital etiquette, emergency awareness এবং patient support system-এর অংশ হয়ে ওঠার প্রস্তুতি দেয়। তুলনামূলক ছোট জেলায় এ ধরনের প্রতিষ্ঠান স্থানীয় শিক্ষার্থীদের জন্য বিশেষ মূল্যবান, কারণ এতে দূরে না গিয়েও স্বাস্থ্যখাতে professional training সম্ভব হয়। যারা যত্ন, দক্ষতা ও দায়িত্ববোধের সমন্বয়ে জীবনঘনিষ্ঠ পেশা বেছে নিতে চায়, তাদের জন্য Nursing Institute, Magura একটি উপযোগী পথ হতে পারে।</t>
  </si>
  <si>
    <t>NIMAG</t>
  </si>
  <si>
    <t>nimagura@dgnm.gov.bd</t>
  </si>
  <si>
    <t>Nursing Institute, Madaripur</t>
  </si>
  <si>
    <t>Nursing Institute, Madaripur মাদারীপুর অঞ্চলে নার্সিং শিক্ষার একটি সম্ভাবনাময় প্রতিষ্ঠান, যা শিক্ষার্থীদের জন্য healthcare profession-এ প্রবেশের একটি আঞ্চলিক, বাস্তবসম্মত এবং সম্মানজনক পথ তৈরি করতে পারে। নার্সিং পেশা এমন একটি ক্ষেত্র যেখানে প্রযুক্তিগত দক্ষতা, মানবিক ব্যবহার এবং patient safety—সবকিছু একসঙ্গে কাজ করে। এই ধরনের ইনস্টিটিউটে একজন শিক্ষার্থী clinical basic, nursing procedure, community support, maternal care এবং hospital discipline-এর মতো বাস্তবক্ষেত্রভিত্তিক বিষয় শেখার সুযোগ পায়। যারা সমাজে সরাসরি অবদান রাখতে চায় এবং একই সঙ্গে একটি স্থিতিশীল কর্মজীবনের ভিত্তি গড়তে চায়, তাদের জন্য Nursing Institute, Madaripur একটি অর্থবহ প্রতিষ্ঠান।</t>
  </si>
  <si>
    <t>NIMAD</t>
  </si>
  <si>
    <t>Madaripur-7900</t>
  </si>
  <si>
    <t>nimadaripur@dgnm.gov.bd</t>
  </si>
  <si>
    <t>Nursing Institute, Kushtia</t>
  </si>
  <si>
    <t>Nursing Institute, Kushtia কুষ্টিয়া অঞ্চলে নার্সিং পেশায় আগ্রহী শিক্ষার্থীদের জন্য একটি গুরুত্বপূর্ণ শিক্ষার পথ, যা স্বাস্থ্যসেবায় দক্ষ, সংবেদনশীল ও patient-centred জনবল গড়ে তুলতে সহায়ক হতে পারে। নার্সিং শিক্ষা এমন এক পেশাগত প্রস্তুতি, যেখানে classroom learning-এর পাশাপাশি ward-based duty, health communication, monitoring, medication care এবং public health understanding সমানভাবে গুরুত্বপূর্ণ। কুষ্টিয়ার মতো আঞ্চলিক শহরে এ ধরনের nursing institute-এর উপস্থিতি স্থানীয় শিক্ষার্থীদের জন্য বিশেষভাবে মূল্যবান, কারণ এতে comparatively কম ব্যয়ে স্বাস্থ্যখাতে প্রবেশের একটি বাস্তব পথ তৈরি হয়। যারা সেবা, পেশা এবং সামাজিক সম্মান—এই তিনটিকে একসঙ্গে চায়, তাদের জন্য Nursing Institute, Kushtia একটি সম্ভাবনাময় বিকল্প।</t>
  </si>
  <si>
    <t>01797-800271.</t>
  </si>
  <si>
    <t>NIKU</t>
  </si>
  <si>
    <t>nikushtia@dgnm.gov.bd</t>
  </si>
  <si>
    <t>Nursing Institute, Kurigram</t>
  </si>
  <si>
    <t>Nursing Institute, Kurigram কুড়িগ্রাম অঞ্চলের শিক্ষার্থীদের জন্য নার্সিং শিক্ষায় একটি গুরুত্বপূর্ণ প্রবেশদ্বার, যা প্রান্তিক ও জেলা-ভিত্তিক স্বাস্থ্যসেবার জন্য দক্ষ মানবসম্পদ তৈরিতে সহায়তা করতে পারে। উত্তরাঞ্চলের ভৌগোলিক ও সামাজিক বাস্তবতায় স্বাস্থ্যসেবার কার্যকর বিস্তারের জন্য প্রশিক্ষিত নার্সের প্রয়োজন অপরিসীম, এবং এই ধরনের প্রতিষ্ঠান সেই চাহিদার উত্তর হতে পারে। একজন শিক্ষার্থী এখানে পড়ে basic nursing skill, patient communication, ward management, মাতৃ ও শিশুসেবা, community awareness এবং professional discipline গড়ে তোলার দিকে অগ্রসর হতে পারে। যারা স্বাস্থ্যসেবাকে মানবিক দায়িত্বের পাশাপাশি স্থিতিশীল পেশা হিসেবে দেখতে চায়, তাদের জন্য Nursing Institute, Kurigram অত্যন্ত তাৎপর্যপূর্ণ।</t>
  </si>
  <si>
    <t>NIKR</t>
  </si>
  <si>
    <t>Kurigram-5600</t>
  </si>
  <si>
    <t>nikurigram@dgnm.gov.bd</t>
  </si>
  <si>
    <t>Nursing Institute, Kishoregonj</t>
  </si>
  <si>
    <t>Nursing Institute, Kishoregonj কিশোরগঞ্জ অঞ্চলে নার্সিং পেশায় আগ্রহী শিক্ষার্থীদের জন্য district-based professional training-এর একটি বাস্তব সুযোগ তৈরি করে। নার্সিং শিক্ষা এখানে এমনভাবে মূল্যবান যে এটি একজন শিক্ষার্থীকে শুধু রোগীসেবার টেকনিক্যাল কাজ নয়, বরং সহমর্মিতা, clinical discipline, communication skill এবং healthcare teamwork-এর মতো পেশাগত গুণাবলি অর্জনে সহায়তা করে। বৃহত্তর কিশোরগঞ্জ অঞ্চলে স্বাস্থ্যখাতের চাহিদা বিবেচনায় এ ধরনের প্রতিষ্ঠানের গুরুত্ব অনেক, কারণ স্থানীয়ভাবে প্রশিক্ষিত নার্স ভবিষ্যতে আঞ্চলিক স্বাস্থ্যসেবায় সরাসরি অবদান রাখতে পারে। যারা সমাজোপযোগী, কর্মমুখী এবং মানবিক একটি পেশা খুঁজছে, তাদের জন্য Nursing Institute, Kishoregonj একটি সম্ভাবনাময় ও অর্থবহ পথ।</t>
  </si>
  <si>
    <t>NIKIS</t>
  </si>
  <si>
    <t>nikishoregonj@dgnm.gov.bd</t>
  </si>
  <si>
    <t>Nursing Institute, Khulna</t>
  </si>
  <si>
    <t>Nursing Institute, Khulna খুলনা অঞ্চলে নার্সিংভিত্তিক স্বাস্থ্যশিক্ষার একটি গুরুত্বপূর্ণ নাম, যা শিক্ষার্থীদের জন্য service-oriented healthcare profession-এ প্রবেশের একটি দৃঢ় ভিত্তি গড়তে পারে। খুলনা বিভাগের মতো বৃহৎ অঞ্চলে হাসপাতাল, কমিউনিটি ক্লিনিক, মাতৃসেবা ও জনস্বাস্থ্য কার্যক্রমে নার্সদের ভূমিকা অত্যন্ত গুরুত্বপূর্ণ; ফলে এ ধরনের ইনস্টিটিউটে পড়াশোনা সরাসরি কর্মক্ষেত্রের সঙ্গে সম্পর্কিত। একজন শিক্ষার্থী এখানে patient care, emergency support, infection prevention, clinical routine এবং compassionate behaviour-এর মতো দক্ষতা বিকাশের সুযোগ পেতে পারে। যারা একটি সম্মানজনক, প্রয়োজনীয় এবং মানবিক পেশার দিকে এগোতে চায়, তাদের জন্য Nursing Institute, Khulna একটি মূল্যবান আঞ্চলিক বিকল্প।</t>
  </si>
  <si>
    <t>NIK</t>
  </si>
  <si>
    <t>nikhulna@dgnm.gov.bd</t>
  </si>
  <si>
    <t>Nursing Institute, Joypurhat</t>
  </si>
  <si>
    <t>Nursing Institute, Joypurhat জয়পুরহাট অঞ্চলে নার্সিং শিক্ষার একটি সম্ভাবনাময় প্রতিষ্ঠান, যা স্থানীয় শিক্ষার্থীদের জন্য healthcare profession-এ প্রবেশের একটি কার্যকর পথ খুলে দেয়। এই ধরনের nursing institute-এ শিক্ষার মূল ফোকাস থাকে রোগীসেবা, basic clinical procedure, ward আচরণ, community health support, hygiene discipline এবং professional nursing ethics-এর ওপর। ছোট ও মধ্যম শহরের শিক্ষার্থীদের জন্য এমন প্রতিষ্ঠান বিশেষ গুরুত্বপূর্ণ, কারণ এটি স্থানীয়ভাবে পড়াশোনা করে তুলনামূলক দ্রুত কর্মমুখী দক্ষতা অর্জনের সুযোগ দেয়। যারা patient-centred profession, সামাজিক মূল্য এবং স্বাস্থ্যখাতে বাস্তব অবদান রাখতে চায়, তাদের জন্য Nursing Institute, Joypurhat একটি তাৎপর্যপূর্ণ পছন্দ।</t>
  </si>
  <si>
    <t>NIJY</t>
  </si>
  <si>
    <t>Joypurhat-5900</t>
  </si>
  <si>
    <t>nijoypurhat@dgnm.gov.bd</t>
  </si>
  <si>
    <t>Nursing Institute, Jhenaidah</t>
  </si>
  <si>
    <t>Nursing Institute, Jhenaidah ঝিনাইদহ অঞ্চলে নার্সিং পেশাগত শিক্ষার একটি গুরুত্বপূর্ণ আঞ্চলিক প্ল্যাটফর্ম, যেখানে একজন শিক্ষার্থী স্বাস্থ্যসেবা, পেশাগত শৃঙ্খলা, clinical support এবং মানবিক সেবার সমন্বিত প্রশিক্ষণ নিতে পারে। নার্সিং শিক্ষা এখানে বাস্তবভিত্তিক, কারণ রোগী পরিচর্যা, ওষুধ প্রয়োগে সহায়তা, পর্যবেক্ষণ, রিপোর্টিং এবং কমিউনিটি স্বাস্থ্যসেবার সঙ্গে এর সরাসরি সম্পর্ক রয়েছে। ঝিনাইদহের মতো অঞ্চলে এই ধরনের প্রতিষ্ঠান থাকার অর্থ হলো স্থানীয় শিক্ষার্থীরা নিজ এলাকার কাছাকাছি থেকেই সম্মানজনক healthcare profession-এ প্রবেশ করতে পারে। যারা বাস্তব দক্ষতা ও মানবিকতা—দুইয়ের সমন্বয়ে জীবনমুখী পেশা খুঁজছে, তাদের জন্য Nursing Institute, Jhenaidah একটি ভালো বিকল্প।</t>
  </si>
  <si>
    <t>NIJHE</t>
  </si>
  <si>
    <t>Jhenaidah-7300</t>
  </si>
  <si>
    <t>nijhenaidah@dgnm.gov.bd</t>
  </si>
  <si>
    <t>Nursing Institute, Jessore</t>
  </si>
  <si>
    <t>Nursing Institute, Jessore যশোর অঞ্চলে নার্সিং শিক্ষার একটি তাৎপর্যপূর্ণ প্রতিষ্ঠান, যা healthcare sector-এ আগ্রহী শিক্ষার্থীদের জন্য patient-centred ও service-based career গড়ার সুযোগ তৈরি করতে পারে। নার্সিং পেশা চিকিৎসা ব্যবস্থার অন্যতম কেন্দ্রীয় শক্তি, কারণ হাসপাতালে রোগী পর্যবেক্ষণ, চিকিৎসা-সহায়তা, জরুরি ব্যবস্থাপনা, maternity support এবং day-to-day care-এ নার্সদের ভূমিকা অপরিহার্য। যশোরে এ ধরনের institute থাকার ফলে শিক্ষার্থীরা স্থানীয়ভাবে nursing training নিয়ে ভবিষ্যৎ কর্মজীবনের জন্য প্রস্তুত হতে পারে। যারা স্বাস্থ্যসেবায় সরাসরি অবদান রাখতে চায় এবং একই সঙ্গে একটি স্থিতিশীল ও মর্যাদাপূর্ণ পেশা খুঁজছে, তাদের জন্য Nursing Institute, Jessore একটি গুরুত্বপূর্ণ আঞ্চলিক প্রতিষ্ঠান।</t>
  </si>
  <si>
    <t>NIJ</t>
  </si>
  <si>
    <t>nijashore@dgnm.gov.bd</t>
  </si>
  <si>
    <t>Nursing Institute, Jamalpur</t>
  </si>
  <si>
    <t>Nursing Institute, Jamalpur জামালপুর অঞ্চলে নার্সিং পেশায় আগ্রহী শিক্ষার্থীদের জন্য একটি বাস্তবমুখী এবং সম্ভাবনাময় শিক্ষার পথ তৈরি করে, যেখানে nursing science-এর সঙ্গে compassion, care discipline এবং professional responsibility-এর সমন্বয় ঘটানো হয়। এই ধরনের প্রতিষ্ঠান থেকে প্রশিক্ষণ নিয়ে একজন শিক্ষার্থী basic clinical care, রোগী পর্যবেক্ষণ, community health service, maternal support এবং hospital routine-এর গুরুত্বপূর্ণ অংশ হতে পারে। জামালপুরের মতো অঞ্চলে local access to nursing education শিক্ষার্থীদের জন্য বিশেষ সুবিধাজনক, কারণ এতে উচ্চশিক্ষা ও পেশাগত প্রশিক্ষণকে পারিবারিক বাস্তবতার সঙ্গে সামঞ্জস্য রেখে এগিয়ে নেওয়া সহজ হয়। যারা মানুষের সেবাকে পেশা হিসেবে বেছে নিতে চায়, তাদের জন্য Nursing Institute, Jamalpur একটি অর্থবহ পথ।</t>
  </si>
  <si>
    <t>NIJAM</t>
  </si>
  <si>
    <t>Jamalpur-2000</t>
  </si>
  <si>
    <t>nijamalpur@dgnm.gov.bd</t>
  </si>
  <si>
    <t>Nursing Institute, Hobigonj</t>
  </si>
  <si>
    <t>Nursing Institute, Hobigonj হবিগঞ্জ অঞ্চলে নার্সিং শিক্ষা বিস্তারের একটি গুরুত্বপূর্ণ আঞ্চলিক সুযোগ, যেখানে একজন শিক্ষার্থী hospital-based care, community support, patient communication এবং nursing professionalism-এর প্রাথমিক ও ব্যবহারিক শিক্ষা নিতে পারে। সিলেট বিভাগের স্বাস্থ্যচাহিদা, জেলা-ভিত্তিক হাসপাতাল ব্যবস্থা এবং স্থানীয় জনগোষ্ঠীর সেবার প্রয়োজনীয়তা নার্সিং পেশাকে এখানে আরও অর্থবহ করে তোলে। একজন শিক্ষার্থীর জন্য এই ধরনের institute-এ পড়াশোনা মানে এমন একটি পেশার দিকে অগ্রসর হওয়া, যেখানে মানবিকতা, নিয়মানুবর্তিতা এবং দক্ষতা—সবকিছুরই মূল্য আছে। যারা healthcare profession-এ বাস্তব ও সম্মানজনক ভূমিকা নিতে চায়, তাদের জন্য Nursing Institute, Hobigonj একটি উপযুক্ত আঞ্চলিক বিকল্প।</t>
  </si>
  <si>
    <t>NIHOB</t>
  </si>
  <si>
    <t>nihobigonj@dgnm.gov.bd</t>
  </si>
  <si>
    <t>Nursing Institute, Gopalgonj</t>
  </si>
  <si>
    <t>Nursing Institute, Gopalgonj গোপালগঞ্জ অঞ্চলে নার্সিং শিক্ষার একটি তাৎপর্যপূর্ণ প্রতিষ্ঠান, যা স্বাস্থ্যখাতের জন্য district-level দক্ষ নার্স তৈরির সুযোগ প্রদান করতে পারে। নার্সিং শিক্ষা এখানে এমনভাবে গুরুত্বপূর্ণ যে এটি একজন শিক্ষার্থীকে রোগীর যত্ন, ওয়ার্ড ম্যানেজমেন্ট, basic nursing procedure, community support এবং professional conduct-এর বাস্তব ভিত্তি দেয়। গোপালগঞ্জের মতো জেলায় স্থানীয়ভাবে nursing training-এর সুযোগ থাকায় শিক্ষার্থীরা comparatively কম ব্যয়ে স্বাস্থ্যপেশায় প্রবেশের প্রস্তুতি নিতে পারে। যারা সেবাকে পেশা হিসেবে দেখতে চায় এবং দীর্ঘমেয়াদে স্বাস্থ্যখাতে কর্মজীবন গড়তে চায়, তাদের জন্য Nursing Institute, Gopalgonj একটি অর্থবহ ও কার্যকর পছন্দ।</t>
  </si>
  <si>
    <t>NIGOP</t>
  </si>
  <si>
    <t>nigopalgonj@dgnm.gov.bd</t>
  </si>
  <si>
    <t>Nursing Institute, Feni</t>
  </si>
  <si>
    <t>Nursing Institute, Feni ফেনী অঞ্চলে নার্সিংভিত্তিক পেশাগত শিক্ষার একটি গুরুত্বপূর্ণ সুযোগ তৈরি করে, যেখানে শিক্ষার্থীরা patient care, practical nursing, hospital support, hygiene and safety protocol এবং community health awareness-এর মতো দক্ষতা অর্জনের দিকে অগ্রসর হতে পারে। সীমান্তসংলগ্ন ও চলাচলকেন্দ্রিক অঞ্চলে স্বাস্থ্যসেবার ধারাবাহিকতা রক্ষায় দক্ষ নার্সের ভূমিকা অত্যন্ত গুরুত্বপূর্ণ, তাই এই ধরনের প্রতিষ্ঠানের সামাজিক মূল্যও অনেক। যারা human care এবং stable professional future—এই দুইয়ের সমন্বয় খুঁজছে, তাদের জন্য Nursing Institute, Feni একটি প্রাসঙ্গিক ও সম্ভাবনাময় আঞ্চলিক প্রতিষ্ঠান।</t>
  </si>
  <si>
    <t>NIFE</t>
  </si>
  <si>
    <t>Feni-3900</t>
  </si>
  <si>
    <t>nifeni@dgnm.gov.bd</t>
  </si>
  <si>
    <t>Nursing Institute, Faridpur</t>
  </si>
  <si>
    <t>Nursing Institute, Faridpur ফরিদপুর অঞ্চলে নার্সিং শিক্ষার একটি উল্লেখযোগ্য ভিত্তি, যা healthcare profession-এ আগ্রহী শিক্ষার্থীদের জন্য district-based professional training-এর সুযোগ তৈরি করতে পারে। নার্সিং পেশায় সফলতার জন্য শুধু তাত্ত্বিক জ্ঞান নয়, বরং সহমর্মিতা, দ্রুত সিদ্ধান্ত নেওয়ার ক্ষমতা, ward-level discipline, patient monitoring এবং health communication skill-এরও প্রয়োজন হয়। ফরিদপুরে nursing institute থাকার ফলে শিক্ষার্থীরা নিজ অঞ্চলের কাছাকাছি থেকে স্বাস্থ্যখাতের একটি গুরুত্বপূর্ণ পেশায় প্রবেশের প্রস্তুতি নিতে পারে। যারা সমাজে সরাসরি অবদান রাখতে চায় এবং একই সঙ্গে একটি সম্মানজনক কর্মজীবনের ভিত্তি গড়তে চায়, তাদের জন্য Nursing Institute, Faridpur একটি বাস্তবসম্মত প্রতিষ্ঠান।</t>
  </si>
  <si>
    <t>NIF</t>
  </si>
  <si>
    <t>nifaridpur@dgnm.gov.bd</t>
  </si>
  <si>
    <t>Nursing Institute, Dinajpur</t>
  </si>
  <si>
    <t>Nursing Institute, Dinajpur দিনাজপুর অঞ্চলে নার্সিং শিক্ষা বিস্তারের একটি তাৎপর্যপূর্ণ নাম, যা উত্তরাঞ্চলের শিক্ষার্থীদের জন্য health profession-এ প্রবেশের বাস্তব সুযোগ তৈরি করতে সহায়ক হতে পারে। নার্সিং শিক্ষা এখানে রোগীসেবা, medication support, hygiene control, maternity care, community service এবং clinical আচরণের মতো বহুমাত্রিক দক্ষতার ওপর নির্ভরশীল। দিনাজপুর অঞ্চলে একটি nursing institute থাকার অর্থ হলো স্থানীয় স্বাস্থ্যখাতের জন্য trained nursing workforce গড়ে ওঠা এবং শিক্ষার্থীদের জন্য accessible professional education-এর সুযোগ তৈরি হওয়া। যারা patient-centred, respected এবং socially meaningful একটি পেশা খুঁজছে, তাদের জন্য Nursing Institute, Dinajpur একটি মূল্যবান বিকল্প।</t>
  </si>
  <si>
    <t>NID</t>
  </si>
  <si>
    <t>nidinajpur@dgnm.gov.bd</t>
  </si>
  <si>
    <t>Nursing Institute, Cox’s Bazar</t>
  </si>
  <si>
    <t>Nursing Institute, Cox’s Bazar কক্সবাজার অঞ্চলে নার্সিং শিক্ষার একটি গুরুত্বপূর্ণ আঞ্চলিক কেন্দ্র হতে পারে, কারণ এখানে জনসংখ্যা, পর্যটন, উপকূলীয় স্বাস্থ্যচাহিদা এবং বহুমাত্রিক রোগীপ্রবাহ—সবকিছুই স্বাস্থ্যসেবাকে বিশেষভাবে প্রাসঙ্গিক করে তোলে। নার্সিং শিক্ষা এই বাস্তবতায় আরও তাৎপর্যপূর্ণ, কারণ দক্ষ নার্স ছাড়া emergency care, maternal service, general ward support এবং community health outreach কার্যকরভাবে পরিচালনা করা কঠিন। একজন শিক্ষার্থীর জন্য Nursing Institute, Cox’s Bazar-এ পড়াশোনা মানে একটি বাস্তবধর্মী, সেবামূলক এবং কর্মসংস্থানমুখী পেশার প্রস্তুতি নেওয়া। যারা স্বাস্থ্যসেবাকে দীর্ঘমেয়াদি পেশাগত পরিচয়ের সঙ্গে যুক্ত করতে চায়, তাদের জন্য এটি একটি সম্ভাবনাময় পছন্দ।</t>
  </si>
  <si>
    <t>NICX</t>
  </si>
  <si>
    <t>nicoxsbazar@dgnm.gov.bd</t>
  </si>
  <si>
    <t>Nursing Institute, Comilla</t>
  </si>
  <si>
    <t>Nursing Institute, Comilla কুমিল্লা অঞ্চলে নার্সিং শিক্ষা ও স্বাস্থ্যসেবা-ভিত্তিক দক্ষতা গড়ে তোলার একটি গুরুত্বপূর্ণ প্রতিষ্ঠান হিসেবে বিবেচিত হতে পারে, যেখানে একজন শিক্ষার্থী patient support, bedside care, infection prevention, hospital routine এবং জনস্বাস্থ্যসংক্রান্ত মৌলিক জ্ঞান অর্জন করতে পারে। বৃহত্তর কুমিল্লা অঞ্চলে স্বাস্থ্যসেবার পরিসর বিস্তৃত হওয়ায় nursing profession-এর জন্য প্রশিক্ষিত মানবসম্পদের চাহিদাও সবসময়ই থাকে। যারা practical healthcare profession, compassion-based service এবং stable career pathway—এই তিনটি বিষয়কে গুরুত্ব দেয়, তাদের জন্য Nursing Institute, Comilla একটি তাৎপর্যপূর্ণ এবং কার্যকর প্রতিষ্ঠান।</t>
  </si>
  <si>
    <t>NIC</t>
  </si>
  <si>
    <t>nicumilla@dgnm.gov.bd</t>
  </si>
  <si>
    <t>Nursing Institute, Chuadanga</t>
  </si>
  <si>
    <t>Nursing Institute, Chuadanga চুয়াডাঙ্গা অঞ্চলে নার্সিং পেশায় আগ্রহী শিক্ষার্থীদের জন্য একটি সম্ভাবনাময় আঞ্চলিক প্রশিক্ষণকেন্দ্র, যেখানে health service-এর মৌলিক ধারণা, রোগীসেবা, ward discipline, community awareness এবং clinical আচরণ শেখার সুযোগ তৈরি হতে পারে। সীমান্তবর্তী ও জেলা-ভিত্তিক স্বাস্থ্যব্যবস্থার জন্য দক্ষ নার্সের গুরুত্ব অত্যন্ত বেশি, ফলে এ ধরনের প্রতিষ্ঠান স্থানীয় পর্যায়ে health workforce development-এ ভূমিকা রাখতে পারে। যারা সেবাধর্মী, মানবিক এবং বাস্তবভিত্তিক একটি পেশা বেছে নিতে চায়, তাদের জন্য Nursing Institute, Chuadanga একটি বিবেচনাযোগ্য বিকল্প।</t>
  </si>
  <si>
    <t>NICHU</t>
  </si>
  <si>
    <t>Chuadanga-7200</t>
  </si>
  <si>
    <t>nichuadanga@dgnm.gov.bd</t>
  </si>
  <si>
    <t>Nursing Institute, Chapai Nawabgonj</t>
  </si>
  <si>
    <t>Nursing Institute, Chapai Nawabgonj চাঁপাইনবাবগঞ্জ অঞ্চলে health profession-এ প্রবেশের একটি মূল্যবান আঞ্চলিক পথ তৈরি করতে পারে, বিশেষত তাদের জন্য যারা nursing education-এর মাধ্যমে patient care, basic clinical support এবং community health service-এ দক্ষ হতে চায়। নার্সিং শিক্ষা একজন শিক্ষার্থীকে শুধু হাসপাতালের কাজ শেখায় না; বরং মানুষের কষ্ট বোঝা, চিকিৎসা-প্রক্রিয়ায় সহায়তা করা এবং রোগীর পাশে নির্ভরতার জায়গা তৈরি করার মানসিকতাও গড়ে তোলে। যারা স্বাস্থ্যসেবায় মানবিক ও পেশাগত ভূমিকা নিতে চায়, তাদের জন্য Nursing Institute, Chapai Nawabgonj একটি তাৎপর্যপূর্ণ পছন্দ হতে পারে।</t>
  </si>
  <si>
    <t>NICN</t>
  </si>
  <si>
    <t>Chapai Nawabgonj-6300</t>
  </si>
  <si>
    <t>nichapai@dgnm.gov.bd</t>
  </si>
  <si>
    <t>Nursing Institute, Chandpur</t>
  </si>
  <si>
    <t>Nursing Institute, Chandpur চাঁদপুর অঞ্চলে নার্সিং পেশায় প্রবেশের একটি আঞ্চলিক সুযোগ হিসেবে গুরুত্বপূর্ণ, যেখানে একজন শিক্ষার্থী service-based healthcare training, clinical routine, community care এবং patient support skill গড়ে তোলার সুযোগ পায়। নদীমাতৃক ও জনবহুল অঞ্চল হিসেবে চাঁদপুরে স্বাস্থ্যসেবার বাস্তবতা যথেষ্ট বৈচিত্র্যময়, যা nursing profession-কে আরও কার্যকর ও প্রয়োজনীয় করে তোলে। যারা মানুষের কাছাকাছি থেকে কাজ করতে চায় এবং একটি সম্মানজনক স্বাস্থ্যপেশায় নিজেকে গড়তে চায়, তাদের জন্য Nursing Institute, Chandpur একটি সম্ভাবনাময় প্রতিষ্ঠান।</t>
  </si>
  <si>
    <t>NICHN</t>
  </si>
  <si>
    <t>nichandpur@dgnm.gov.bd</t>
  </si>
  <si>
    <t>Nursing Institute, Brahmanbaria</t>
  </si>
  <si>
    <t>Nursing Institute, Brahmanbaria ব্রাহ্মণবাড়িয়া অঞ্চলে নার্সিং শিক্ষা বিস্তারের একটি গুরুত্বপূর্ণ আঞ্চলিক উদ্যোগ, যা health service sector-এ আগ্রহী শিক্ষার্থীদের জন্য patient-centred এবং skill-based professional pathway তৈরি করতে পারে। নার্সিং পেশার মূল শক্তি হলো এটি সরাসরি মানুষের জীবন, সুস্থতা ও নিরাপত্তার সঙ্গে যুক্ত; ফলে এখানে দায়িত্ববোধ, সহমর্মিতা এবং technical competence সমান গুরুত্ব পায়। যারা স্বাস্থ্যখাতে বাস্তব অবদান রাখতে চায় এবং একই সঙ্গে একটি সম্মানজনক কর্মমুখী শিক্ষা খুঁজছে, তাদের জন্য Nursing Institute, Brahmanbaria একটি অর্থবহ বিকল্প।</t>
  </si>
  <si>
    <t>NIBB</t>
  </si>
  <si>
    <t>Brahmanbaria-3400</t>
  </si>
  <si>
    <t>nibbaria@dgnm.gov.bd</t>
  </si>
  <si>
    <t>Nursing Institute, Bogra</t>
  </si>
  <si>
    <t>Nursing Institute, Bogra বগুড়া অঞ্চলে নার্সিং শিক্ষার একটি গুরুত্বপূর্ণ ভিত্তি, যা উত্তরবঙ্গের শিক্ষার্থীদের জন্য healthcare profession-এ প্রবেশের একটি শক্তিশালী আঞ্চলিক পথ তৈরি করতে পারে। নার্সিং শিক্ষার মাধ্যমে একজন শিক্ষার্থী রোগীসেবা, ওয়ার্ডভিত্তিক কাজ, পর্যবেক্ষণ, medication support, hygiene and infection control এবং clinical professionalism-এর মতো গুরুত্বপূর্ণ বিষয় শিখে। বগুড়া অঞ্চলের স্বাস্থ্যসেবা অবকাঠামোর সঙ্গে এই ধরনের প্রতিষ্ঠান যুক্ত থাকায় training comparatively বাস্তবধর্মী হতে পারে। যারা health service-কে career এবং সমাজসেবাকে দায়িত্ব—দুই দৃষ্টিতেই দেখতে চায়, তাদের জন্য Nursing Institute, Bogra একটি উল্লেখযোগ্য সুযোগ।</t>
  </si>
  <si>
    <t>NIB</t>
  </si>
  <si>
    <t>nibogura@dgnm.gov.bd</t>
  </si>
  <si>
    <t>Nursing Institute, Bhola</t>
  </si>
  <si>
    <t>Nursing Institute, Bhola ভোলা অঞ্চলে নার্সিং শিক্ষার একটি তাৎপর্যপূর্ণ নাম, বিশেষত উপকূলীয় ও দ্বীপপ্রধান অঞ্চলে স্বাস্থ্যসেবার বাস্তবতা বিবেচনায়। এ ধরনের এলাকায় trained nursing workforce অত্যন্ত গুরুত্বপূর্ণ, কারণ primary care, maternal health, emergency transfer support এবং community-level service-এ নার্সদের ভূমিকা অনেক বেশি। একজন শিক্ষার্থীর জন্য Nursing Institute, Bhola-তে পড়া মানে একটি মানবিক, কর্মমুখী এবং বাস্তবধর্মী পেশার দিকে এগিয়ে যাওয়া। যারা সেবাকে পেশা হিসেবে বেছে নিতে চায় এবং নিজেদের অঞ্চলের মানুষের জন্য কাজ করতে আগ্রহী, তাদের জন্য এটি একটি বিশেষ অর্থবহ প্রতিষ্ঠান।</t>
  </si>
  <si>
    <t>NIBHO</t>
  </si>
  <si>
    <t>Bhola-8300</t>
  </si>
  <si>
    <t>nibhola@dgnm.gov.bd</t>
  </si>
  <si>
    <t>Nursing Institute, Barguna</t>
  </si>
  <si>
    <t>Nursing Institute, Barguna বরগুনা অঞ্চলে নার্সিংভিত্তিক পেশাগত শিক্ষার একটি সম্ভাবনাময় কেন্দ্র, যা উপকূলীয় স্বাস্থ্যচাহিদা, community support এবং hospital-linked care-এর জন্য দক্ষ জনবল তৈরিতে সহায়ক হতে পারে। নার্সিং পেশা এখানে বিশেষভাবে গুরুত্বপূর্ণ, কারণ দুর্যোগপ্রবণ ও প্রান্তিক এলাকায় রোগীর পাশে থেকে কাজ করার মতো সহানুভূতিশীল ও প্রশিক্ষিত ব্যক্তির প্রয়োজন বেশি। একজন শিক্ষার্থীর জন্য এ ধরনের প্রতিষ্ঠানে পড়াশোনা মানে কেবল certificate অর্জন নয়, বরং practical healthcare responsibility শেখা। যারা nursing profession-এ সত্যিকারের সেবামূলক ভূমিকা খুঁজছে, তাদের জন্য Nursing Institute, Barguna একটি যথার্থ পথ।</t>
  </si>
  <si>
    <t>NIBAR</t>
  </si>
  <si>
    <t>Barguna-8700</t>
  </si>
  <si>
    <t>nibarguna@dgnm.gov.bd</t>
  </si>
  <si>
    <t>Nursing Institute, Bagerhat</t>
  </si>
  <si>
    <t>Nursing Institute, Bagerhat বাগেরহাট অঞ্চলে নার্সিং পেশায় আগ্রহী শিক্ষার্থীদের জন্য একটি কার্যকর আঞ্চলিক বিকল্প, যেখানে health service-oriented training, patient observation, clinical conduct এবং community nursing awareness-এর ভিত্তি তৈরি হতে পারে। দক্ষিণ-পশ্চিমাঞ্চলের স্বাস্থ্যসেবার বাস্তব চাহিদা বিবেচনায় এ ধরনের institute-এর উপস্থিতি অত্যন্ত গুরুত্বপূর্ণ। একজন শিক্ষার্থী এখানে পড়ে ধীরে ধীরে এমন একটি পেশার জন্য প্রস্তুত হতে পারে, যেখানে মানবিকতা, শৃঙ্খলা এবং দক্ষতা—সবই সমানভাবে মূল্যবান। যারা local access-এর মধ্যে থেকে healthcare profession-এ প্রবেশ করতে চায়, তাদের জন্য Nursing Institute, Bagerhat একটি ভালো বিকল্প।</t>
  </si>
  <si>
    <t>NIBA</t>
  </si>
  <si>
    <t>Bagerhat-9300</t>
  </si>
  <si>
    <t>nibagerhat@dgnm.gov.bd</t>
  </si>
  <si>
    <t>Mymensingh Nursing College</t>
  </si>
  <si>
    <t>Mymensingh Nursing College, Mymensingh দেশের সুপরিচিত সরকারি nursing college-গুলোর একটি, যার নিজস্ব সরকারি ওয়েব উপস্থিতি, ভর্তি-নোটিশ, ফলাফল, শিক্ষক-শিক্ষার্থী পোর্টাল এবং debating, science, computer, blood donation ও cultural club-এর মতো সহশিক্ষা কাঠামো রয়েছে। এটি দেখায় যে প্রতিষ্ঠানটি কেবল nursing training-এর জায়গা নয়; বরং একটি পূর্ণাঙ্গ academic community। সরকারি nursing college হিসেবে এটি BSc in Nursing-ভিত্তিক higher-level professional nursing education-এর অংশ এবং clinical maturity, leadership development ও nurse educator/nurse manager হওয়ার দীর্ঘমেয়াদি সম্ভাবনার ভিত্তি তৈরি করে। যারা structured nursing college environment, সরকারি মর্যাদা এবং co-curricular development—এই তিনটির সমন্বয় চায়, তাদের জন্য Mymensingh Nursing College অত্যন্ত শক্তিশালী একটি পছন্দ।</t>
  </si>
  <si>
    <t>MNC</t>
  </si>
  <si>
    <t>mnc@dgnm.gov.bd</t>
  </si>
  <si>
    <t>Khulna Nursing College</t>
  </si>
  <si>
    <t>Khulna Nursing College, Khulna সরকারি খাতের BSc in Nursing ও post-basic nursing education প্রদানকারী গুরুত্বপূর্ণ nursing college-গুলোর একটি হিসেবে স্বীকৃত, এবং DGNM-এর তথ্য অনুযায়ী এটি পাবলিক সেক্টরের মূল nursing college তালিকায় অন্তর্ভুক্ত। একজন শিক্ষার্থীর জন্য এই কলেজের বিশেষ মূল্য হলো—এখানে nursing education তুলনামূলকভাবে higher academic orientation-এর সঙ্গে পরিচালিত হয়, যা ভবিষ্যতে clinical nursing-এর পাশাপাশি nurse leadership, teaching বা advanced study-এর পথ খুলে দিতে পারে। খুলনা অঞ্চলে সরকারি nursing college হিসেবে এর অবস্থান দক্ষিণ-পশ্চিমাঞ্চলের শিক্ষার্থীদের জন্য বিশেষভাবে গুরুত্বপূর্ণ। যারা diploma-স্তরের বাইরে আরও academic ও professional nursing pathway খুঁজছে, তাদের জন্য Khulna Nursing College একটি অত্যন্ত তাৎপর্যপূর্ণ প্রতিষ্ঠান।</t>
  </si>
  <si>
    <t>KNC</t>
  </si>
  <si>
    <t>Boyra, Khulna</t>
  </si>
  <si>
    <t>knc@dgnm.gov.bd</t>
  </si>
  <si>
    <t>Fauzderhat Nursing College, Chittagong</t>
  </si>
  <si>
    <t>Fauzderhat Nursing College, Chittagong চট্টগ্রাম অঞ্চলে সরকারি nursing college শিক্ষার একটি গুরুত্বপূর্ণ কেন্দ্র, যা DGNM-এর তালিকায় public sector nursing college হিসেবে উল্লেখিত। এই কলেজের মূল শক্তি হলো এটি নার্সিং শিক্ষাকে diploma-ধর্মী basic training-এর বাইরেও higher nursing education-এর দিকে এগিয়ে নিয়ে যায়, ফলে শিক্ষার্থীরা ভবিষ্যতে clinical excellence-এর পাশাপাশি academic advancement-এর সুযোগ পেতে পারে। চট্টগ্রামের বৃহৎ স্বাস্থ্যব্যবস্থা, বন্দরনগরীর হাসপাতাল-নির্ভর বাস্তবতা এবং nurse workforce-এর চাহিদা এই কলেজকে আরও প্রাসঙ্গিক করে তোলে। যারা coastal urban healthcare context-এর মধ্যে থেকে structured public nursing college education নিতে চায়, তাদের জন্য Fauzderhat Nursing College একটি গুরুত্বপূর্ণ ও মর্যাদাপূর্ণ বিকল্প।</t>
  </si>
  <si>
    <t>FNC</t>
  </si>
  <si>
    <t>Sagarika, Chattogram</t>
  </si>
  <si>
    <t>fnc@dgnm.gov.bd</t>
  </si>
  <si>
    <t>Dhaka Nursing College, Dhaka</t>
  </si>
  <si>
    <t>Dhaka Nursing College, Dhaka রাজধানীতে অবস্থিত একটি গুরুত্বপূর্ণ সরকারি nursing college, যার নিজস্ব সরকারি ওয়েব উপস্থিতি এবং institutional identity nursing education-এ এর বিশেষ অবস্থানকে স্পষ্ট করে। ঢাকাকেন্দ্রিক হওয়ায় এখানে nursing education বৃহত্তর healthcare ecosystem, tertiary hospital environment এবং advanced clinical exposure-এর সঙ্গে ঘনিষ্ঠভাবে যুক্ত থাকতে পারে। সরকারি nursing college হিসেবে এটি উচ্চতর nursing education, disciplined academic environment এবং future leadership-oriented professional development-এর সুযোগ তৈরি করে। যারা ঢাকায় থেকে public nursing college-এ পড়াশোনা করতে চায় এবং nursing profession-এ তুলনামূলক উন্নত একাডেমিক ও পেশাগত পথ খুঁজছে, তাদের জন্য Dhaka Nursing College একটি অত্যন্ত আকর্ষণীয় ও গুরুত্বপূর্ণ পছন্দ।</t>
  </si>
  <si>
    <t>DNC</t>
  </si>
  <si>
    <t>dnc@dgnm.gov.bd</t>
  </si>
  <si>
    <t>College of Nursing, Mohakhali, Dhaka</t>
  </si>
  <si>
    <t>College of Nursing, Mohakhali, Dhaka বাংলাদেশের সরকারি nursing education কাঠামোর সবচেয়ে গুরুত্বপূর্ণ ও অগ্রণী প্রতিষ্ঠানগুলোর একটি, এবং DGNM-এর তথ্যে এটি public sector-এর মূল College of Nursing হিসেবে স্পষ্টভাবে উল্লেখিত। এখানে post-basic BSc in Nursing এবং BSc in Public Health Nursing-এর মতো উচ্চতর nursing program পরিচালিত হয়, যা nurse manager, nurse teacher, nurse administrator ও nurse leader তৈরির জন্য বিশেষভাবে তাৎপর্যপূর্ণ। রাজধানীর মহাখালীতে অবস্থিত হওয়ায় এটি জাতীয় পর্যায়ের health system, public health institution এবং বড় হাসপাতাল-ভিত্তিক nursing learning-এর সঙ্গে সংযুক্ত। যারা nursing profession-এ শুধু প্রাথমিক চাকরি নয়, বরং নেতৃত্ব, শিক্ষা, প্রশাসন ও advanced professional identity গড়তে চায়, তাদের জন্য College of Nursing, Mohakhali, Dhaka নিঃসন্দেহে অন্যতম সেরা ও মর্যাদাপূর্ণ প্রতিষ্ঠান।</t>
  </si>
  <si>
    <t>CONM</t>
  </si>
  <si>
    <t>Mohakhali, Dhaka</t>
  </si>
  <si>
    <t>info@dgnm.gov.bd</t>
  </si>
  <si>
    <t>Chittagong Nursing College, Chittagong</t>
  </si>
  <si>
    <t>Chittagong Nursing College, Chittagong সরকারি nursing college কাঠামোর একটি গুরুত্বপূর্ণ নাম, যা DGNM-এর public sector college list-এ Fauzderhat Nursing College হিসেবে প্রতিফলিত হয়েছে এবং চট্টগ্রাম অঞ্চলে উচ্চতর nursing education-এর সুযোগ তৈরি করে। এর বিশেষ গুরুত্ব হলো—এটি nursing profession-এ আগ্রহী শিক্ষার্থীদের basic care training-এর বাইরে গিয়ে আরও formal academic pathway-এ এগিয়ে যাওয়ার সুযোগ দেয়। চট্টগ্রামের বৃহৎ আঞ্চলিক চিকিৎসাব্যবস্থা, হাসপাতাল নেটওয়ার্ক এবং জনস্বাস্থ্য চাহিদার সঙ্গে সংযুক্ত হয়ে এই কলেজের শিক্ষা আরও কার্যকর হতে পারে। যারা সরকারি nursing college-এ পড়ে clinical competence-এর পাশাপাশি long-term academic growth চায়, তাদের জন্য Chittagong Nursing College একটি মূল্যবান পছন্দ।</t>
  </si>
  <si>
    <t>CNC</t>
  </si>
  <si>
    <t>cnc@dgnm.gov.bd</t>
  </si>
  <si>
    <t>Bogra Nursing College, Bogra</t>
  </si>
  <si>
    <t>Bogra Nursing College, Bogra সরকারি খাতের চারটি প্রধান nursing college-এর একটি হিসেবে DGNM-এর তালিকায় উল্লেখিত, যা এটিকে nursing education-এর ক্ষেত্রে বিশেষ মর্যাদা দেয়। উত্তরাঞ্চলের শিক্ষার্থীদের জন্য এটি অত্যন্ত গুরুত্বপূর্ণ, কারণ এখানে post-basic ও higher nursing education-এর সুযোগ তৈরি হয়, যা শুধুমাত্র bedside care নয়, বরং nurse leadership, teaching capacity এবং advanced professional role-এর পথ খুলে দিতে পারে। বগুড়ার আঞ্চলিক চিকিৎসা বাস্তবতা এবং উত্তরবঙ্গের স্বাস্থ্যখাতে trained nurse-এর চাহিদা এই কলেজের প্রাসঙ্গিকতা আরও বাড়ায়। যারা সরকারি nursing college-এ পড়ে long-term career progression এবং professional recognition খুঁজছে, তাদের জন্য Bogra Nursing College একটি শক্তিশালী ও সম্মানজনক বিকল্প।</t>
  </si>
  <si>
    <t>BNCB</t>
  </si>
  <si>
    <t>bncb@dgnm.gov.bd</t>
  </si>
  <si>
    <t>Barisal Nursing College, Barisal</t>
  </si>
  <si>
    <t>Barisal Nursing College, Barisal সরকারি nursing education system-এর একটি গুরুত্বপূর্ণ প্রতিষ্ঠান, এবং DGNM-এর তথ্য অনুযায়ী বরিশাল মেডিকেল কলেজ হাসপাতাল-সংযুক্ত nursing institute-কে উন্নীত করে nursing college পর্যায়ে আনা হয়েছে। এর অর্থ হলো বরিশাল অঞ্চলে nursing education basic training-এর বাইরে গিয়ে আরও formal college-based academic structure-এ প্রবেশ করেছে। দক্ষিণাঞ্চলের জন্য এটি বিশেষভাবে তাৎপর্যপূর্ণ, কারণ এতে local students-রা higher nursing education, structured clinical learning এবং future career advancement-এর ভিত্তি পায়। যারা নার্সিংকে শুধুমাত্র চাকরির পথ নয়, বরং academic growth ও healthcare leadership-এর সম্ভাবনাময় পেশা হিসেবে দেখতে চায়, তাদের জন্য Barisal Nursing College একটি গুরুত্বপূর্ণ ও ভবিষ্যতমুখী প্রতিষ্ঠান।</t>
  </si>
  <si>
    <t>BNC</t>
  </si>
  <si>
    <t>Band Road, Barishal</t>
  </si>
  <si>
    <t>bnc@dgnm.gov.bd</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</si>
</sst>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b/>
      <color theme="1"/>
      <name val="Arial"/>
    </font>
    <font>
      <color theme="1"/>
      <name val="Arial"/>
      <scheme val="minor"/>
    </font>
    <font>
      <b/>
      <u/>
      <color rgb="FF0000FF"/>
      <name val="Arial"/>
    </font>
    <font>
      <b/>
      <color rgb="FF1F1F1F"/>
      <name val="Arial"/>
    </font>
    <font>
      <b/>
      <u/>
      <color rgb="FF1F1F1F"/>
      <name val="Arial"/>
    </font>
    <font>
      <b/>
      <color rgb="FF000000"/>
      <name val="Arial"/>
    </font>
    <font>
      <b/>
      <u/>
      <color rgb="FF000000"/>
      <name val="Arial"/>
    </font>
    <font>
      <b/>
      <u/>
      <color rgb="FF000000"/>
      <name val="Arial"/>
    </font>
    <font>
      <b/>
      <sz val="12.0"/>
      <color rgb="FF000000"/>
      <name val="Arial"/>
    </font>
    <font>
      <b/>
      <sz val="12.0"/>
      <color theme="1"/>
      <name val="Arial"/>
    </font>
    <font>
      <b/>
      <u/>
      <color rgb="FF9F545C"/>
      <name val="Arial"/>
    </font>
  </fonts>
  <fills count="3">
    <fill>
      <patternFill patternType="none"/>
    </fill>
    <fill>
      <patternFill patternType="lightGray"/>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1" fillId="2" fontId="1" numFmtId="0" xfId="0" applyAlignment="1" applyBorder="1" applyFill="1" applyFont="1">
      <alignment horizontal="center" shrinkToFit="0" wrapText="1"/>
    </xf>
    <xf borderId="1" fillId="2" fontId="1" numFmtId="0" xfId="0" applyAlignment="1" applyBorder="1" applyFont="1">
      <alignment horizontal="center" readingOrder="0" shrinkToFit="0" wrapText="1"/>
    </xf>
    <xf borderId="1" fillId="2" fontId="1" numFmtId="0" xfId="0" applyAlignment="1" applyBorder="1" applyFont="1">
      <alignment horizontal="center" shrinkToFit="0" vertical="bottom" wrapText="1"/>
    </xf>
    <xf borderId="0" fillId="0" fontId="2" numFmtId="0" xfId="0" applyAlignment="1" applyFont="1">
      <alignment readingOrder="0"/>
    </xf>
    <xf borderId="1" fillId="2" fontId="3" numFmtId="0" xfId="0" applyAlignment="1" applyBorder="1" applyFont="1">
      <alignment horizontal="center" shrinkToFit="0" wrapText="1"/>
    </xf>
    <xf borderId="1" fillId="2" fontId="1" numFmtId="3" xfId="0" applyAlignment="1" applyBorder="1" applyFont="1" applyNumberFormat="1">
      <alignment horizontal="center" shrinkToFit="0" wrapText="1"/>
    </xf>
    <xf borderId="1" fillId="2" fontId="4" numFmtId="0" xfId="0" applyAlignment="1" applyBorder="1" applyFont="1">
      <alignment horizontal="center" shrinkToFit="0" wrapText="1"/>
    </xf>
    <xf borderId="1" fillId="2" fontId="5" numFmtId="0" xfId="0" applyAlignment="1" applyBorder="1" applyFont="1">
      <alignment horizontal="center" shrinkToFit="0" wrapText="1"/>
    </xf>
    <xf borderId="1" fillId="2" fontId="6" numFmtId="0" xfId="0" applyAlignment="1" applyBorder="1" applyFont="1">
      <alignment horizontal="center" shrinkToFit="0" vertical="bottom" wrapText="1"/>
    </xf>
    <xf borderId="1" fillId="2" fontId="4" numFmtId="0" xfId="0" applyAlignment="1" applyBorder="1" applyFont="1">
      <alignment horizontal="center" shrinkToFit="0" vertical="bottom" wrapText="1"/>
    </xf>
    <xf borderId="1" fillId="2" fontId="7" numFmtId="0" xfId="0" applyAlignment="1" applyBorder="1" applyFont="1">
      <alignment horizontal="center" shrinkToFit="0" vertical="bottom" wrapText="1"/>
    </xf>
    <xf borderId="1" fillId="2" fontId="8" numFmtId="0" xfId="0" applyAlignment="1" applyBorder="1" applyFont="1">
      <alignment horizontal="center" shrinkToFit="0" wrapText="1"/>
    </xf>
    <xf borderId="1" fillId="2" fontId="1" numFmtId="0" xfId="0" applyAlignment="1" applyBorder="1" applyFont="1">
      <alignment shrinkToFit="0" vertical="bottom" wrapText="1"/>
    </xf>
    <xf borderId="1" fillId="2" fontId="9" numFmtId="0" xfId="0" applyAlignment="1" applyBorder="1" applyFont="1">
      <alignment horizontal="center" shrinkToFit="0" vertical="bottom" wrapText="1"/>
    </xf>
    <xf borderId="1" fillId="2" fontId="6" numFmtId="49" xfId="0" applyAlignment="1" applyBorder="1" applyFont="1" applyNumberFormat="1">
      <alignment horizontal="center" shrinkToFit="0" vertical="bottom" wrapText="1"/>
    </xf>
    <xf borderId="1" fillId="2" fontId="10" numFmtId="0" xfId="0" applyAlignment="1" applyBorder="1" applyFont="1">
      <alignment horizontal="center" shrinkToFit="0" vertical="bottom" wrapText="1"/>
    </xf>
    <xf borderId="1" fillId="2" fontId="11" numFmtId="0" xfId="0" applyAlignment="1" applyBorder="1" applyFont="1">
      <alignment horizontal="center" shrinkToFit="0" vertical="bottom" wrapText="1"/>
    </xf>
    <xf borderId="0" fillId="2" fontId="2" numFmtId="0" xfId="0" applyFont="1"/>
  </cellXfs>
  <cellStyles count="1">
    <cellStyle xfId="0" name="Normal" builtinId="0"/>
  </cellStyles>
  <dxfs count="8">
    <dxf>
      <font/>
      <fill>
        <patternFill patternType="none"/>
      </fill>
      <border/>
    </dxf>
    <dxf>
      <font/>
      <fill>
        <patternFill patternType="solid">
          <fgColor rgb="FF9FC5E8"/>
          <bgColor rgb="FF9FC5E8"/>
        </patternFill>
      </fill>
      <border/>
    </dxf>
    <dxf>
      <font/>
      <fill>
        <patternFill patternType="solid">
          <fgColor rgb="FFFFF2CC"/>
          <bgColor rgb="FFFFF2CC"/>
        </patternFill>
      </fill>
      <border/>
    </dxf>
    <dxf>
      <font/>
      <fill>
        <patternFill patternType="solid">
          <fgColor rgb="FF4DD0E1"/>
          <bgColor rgb="FF4DD0E1"/>
        </patternFill>
      </fill>
      <border/>
    </dxf>
    <dxf>
      <font/>
      <fill>
        <patternFill patternType="solid">
          <fgColor rgb="FFFFFFFF"/>
          <bgColor rgb="FFFFFFFF"/>
        </patternFill>
      </fill>
      <border/>
    </dxf>
    <dxf>
      <font/>
      <fill>
        <patternFill patternType="solid">
          <fgColor rgb="FFE0F7FA"/>
          <bgColor rgb="FFE0F7FA"/>
        </patternFill>
      </fill>
      <border/>
    </dxf>
    <dxf>
      <font/>
      <fill>
        <patternFill patternType="solid">
          <fgColor rgb="FFA2E8F1"/>
          <bgColor rgb="FFA2E8F1"/>
        </patternFill>
      </fill>
      <border/>
    </dxf>
    <dxf>
      <font/>
      <fill>
        <patternFill patternType="solid">
          <fgColor rgb="FFE7F9EF"/>
          <bgColor rgb="FFE7F9EF"/>
        </patternFill>
      </fill>
      <border/>
    </dxf>
  </dxfs>
  <tableStyles count="5">
    <tableStyle count="2" pivot="0" name="Sheet1-style">
      <tableStyleElement dxfId="1" type="firstRowStripe"/>
      <tableStyleElement dxfId="2" type="secondRowStripe"/>
    </tableStyle>
    <tableStyle count="2" pivot="0" name="Sheet1-style 2">
      <tableStyleElement dxfId="2" type="firstRowStripe"/>
      <tableStyleElement dxfId="1" type="secondRowStripe"/>
    </tableStyle>
    <tableStyle count="4" pivot="0" name="Sheet1-style 3">
      <tableStyleElement dxfId="3" type="headerRow"/>
      <tableStyleElement dxfId="4" type="firstRowStripe"/>
      <tableStyleElement dxfId="5" type="secondRowStripe"/>
      <tableStyleElement dxfId="6" type="totalRow"/>
    </tableStyle>
    <tableStyle count="2" pivot="0" name="Sheet1-style 4">
      <tableStyleElement dxfId="4" type="firstRowStripe"/>
      <tableStyleElement dxfId="7" type="secondRowStripe"/>
    </tableStyle>
    <tableStyle count="2" pivot="0" name="Sheet1-style 5">
      <tableStyleElement dxfId="2" type="firstRowStripe"/>
      <tableStyleElement dxfId="1"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20:Z23" displayName="Table_1" name="Table_1" id="1">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Sheet1-style" showColumnStripes="0" showFirstColumn="1" showLastColumn="1" showRowStripes="1"/>
</table>
</file>

<file path=xl/tables/table2.xml><?xml version="1.0" encoding="utf-8"?>
<table xmlns="http://schemas.openxmlformats.org/spreadsheetml/2006/main" headerRowCount="0" ref="A30:Z30" displayName="Table_2" name="Table_2" id="2">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Sheet1-style 2" showColumnStripes="0" showFirstColumn="1" showLastColumn="1" showRowStripes="1"/>
</table>
</file>

<file path=xl/tables/table3.xml><?xml version="1.0" encoding="utf-8"?>
<table xmlns="http://schemas.openxmlformats.org/spreadsheetml/2006/main" totalsRowCount="1" headerRowCount="0" ref="A138:Z138" displayName="Table_3" name="Table_3" id="3">
  <tableColumns count="26">
    <tableColumn totalsRowLabel="10.Affiliate College" name="Column1" id="1"/>
    <tableColumn totalsRowLabel="Bangladesh Marine Academy" name="Column2" id="2"/>
    <tableColumn totalsRowLabel="Bangladesh Marine Academy চট্টগ্রামে অবস্থিত বাংলাদেশের ঐতিহাসিক ও কেন্দ্রীয় সামুদ্রিক প্রশিক্ষণ প্রতিষ্ঠান, যা দেশের merchant navy ও আন্তর্জাতিক সমুদ্রপথে কাজের জন্য নাবিক ও marine officer তৈরির প্রধান কেন্দ্রগুলোর একটি। সামুদ্রিক পেশার জন্য যে ধরণের বিশেষায়িত শিক্ষা ও শৃঙ্খলাবদ্ধ প্রশিক্ষণ প্রয়োজন, এই একাডেমি তা দীর্ঘদিন ধরে প্রদান করে আসছে। এর চরিত্র সাধারণ কলেজ বা বিশ্ববিদ্যালয়ের মতো নয়; বরং এটি cadet-based professional maritime academy, যেখানে শিক্ষাজীবনের সঙ্গে discipline, physical fitness, nautical knowledge, নিরাপত্তা, sea readiness, leadership এবং international maritime standard—সবকিছু একসঙ্গে জড়িত। চট্টগ্রামের বন্দরনগর পরিবেশ এই প্রতিষ্ঠানের বাস্তবতাকে আরও তাৎপর্যপূর্ণ করে, কারণ maritime training এখানে কেবল তত্ত্বভিত্তিক নয়, বরং দেশের বাস্তব বন্দর ও শিপিং প্রেক্ষাপটের সঙ্গে সংযুক্ত। একজন শিক্ষার্থীর জন্য Bangladesh Marine Academy-তে পড়া মানে কেবল একটি ডিগ্রি বা certificate নেওয়া নয়; বরং একটি নির্দিষ্ট আন্তর্জাতিক পেশাজগতের জন্য নিজেকে তৈরি করা। sea career, merchant ship operations, navigation, marine engineering support, shipboard discipline এবং global employment pathway—এসব কিছুই এই একাডেমির মাধ্যমে বাস্তব সম্ভাবনায় রূপ নিতে পারে। যেসব শিক্ষার্থী land-based traditional career-এর বাইরে গিয়ে maritime profession-এ যুক্ত হতে চায়, বিশেষ করে যারা শৃঙ্খলাবদ্ধ জীবন, ভিন্নধর্মী ক্যারিয়ার এবং আন্তর্জাতিক কর্মপরিসরে আগ্রহী, তাদের জন্য Bangladesh Marine Academy একটি অত্যন্ত মর্যাদাপূর্ণ, ব্যতিক্রমধর্মী এবং career-defining প্রতিষ্ঠান।" name="Column3" id="3"/>
    <tableColumn totalsRowLabel="8802334421160" name="Column4" id="4"/>
    <tableColumn totalsRowLabel="BMA" name="Column5" id="5"/>
    <tableColumn totalsRowLabel="1962" name="Column6" id="6"/>
    <tableColumn totalsRowLabel="Chattogram" name="Column7" id="7"/>
    <tableColumn totalsRowLabel="info@macademy.gov.bd" name="Column8" id="8"/>
    <tableColumn totalsRowLabel="https://macademy.gov.bd" name="Column9" id="9"/>
    <tableColumn totalsRowLabel="bsmrmu.edu.bd" name="Column10" id="10"/>
    <tableColumn totalsRowLabel="200" name="Column11" id="11"/>
    <tableColumn totalsRowLabel="200" name="Column12" id="12"/>
    <tableColumn totalsRowLabel="N/A" name="Column13" id="13"/>
    <tableColumn totalsRowLabel="N/A" name="Column14" id="14"/>
    <tableColumn totalsRowLabel="Affiliate College"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Sheet1-style 3" showColumnStripes="0" showFirstColumn="1" showLastColumn="1" showRowStripes="1"/>
  <extLst>
    <ext uri="GoogleSheetsCustomDataVersion1">
      <go:sheetsCustomData xmlns:go="http://customooxmlschemas.google.com/" headerRowCount="1"/>
    </ext>
  </extLst>
</table>
</file>

<file path=xl/tables/table4.xml><?xml version="1.0" encoding="utf-8"?>
<table xmlns="http://schemas.openxmlformats.org/spreadsheetml/2006/main" headerRowCount="0" ref="O139" displayName="Table_4" name="Table_4" id="4">
  <tableColumns count="1">
    <tableColumn name="Column1" id="1"/>
  </tableColumns>
  <tableStyleInfo name="Sheet1-style 4" showColumnStripes="0" showFirstColumn="1" showLastColumn="1" showRowStripes="1"/>
</table>
</file>

<file path=xl/tables/table5.xml><?xml version="1.0" encoding="utf-8"?>
<table xmlns="http://schemas.openxmlformats.org/spreadsheetml/2006/main" headerRowCount="0" ref="A158:Z202" displayName="Table_5" name="Table_5" id="5">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Sheet1-style 5"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aibasavar.edu.bd/admission" TargetMode="External"/><Relationship Id="rId194" Type="http://schemas.openxmlformats.org/officeDocument/2006/relationships/hyperlink" Target="http://afmc.teletalk.com.bd/" TargetMode="External"/><Relationship Id="rId193" Type="http://schemas.openxmlformats.org/officeDocument/2006/relationships/hyperlink" Target="https://amcrbd.org/" TargetMode="External"/><Relationship Id="rId192" Type="http://schemas.openxmlformats.org/officeDocument/2006/relationships/hyperlink" Target="http://afmc.teletalk.com.bd/" TargetMode="External"/><Relationship Id="rId191" Type="http://schemas.openxmlformats.org/officeDocument/2006/relationships/hyperlink" Target="https://nmcc.edu.bd/" TargetMode="External"/><Relationship Id="rId187" Type="http://schemas.openxmlformats.org/officeDocument/2006/relationships/hyperlink" Target="https://aibasylhet.edu.bd" TargetMode="External"/><Relationship Id="rId186" Type="http://schemas.openxmlformats.org/officeDocument/2006/relationships/hyperlink" Target="https://joinairforce.baf.mil.bd" TargetMode="External"/><Relationship Id="rId185" Type="http://schemas.openxmlformats.org/officeDocument/2006/relationships/hyperlink" Target="https://bafa.mil.bd" TargetMode="External"/><Relationship Id="rId184" Type="http://schemas.openxmlformats.org/officeDocument/2006/relationships/hyperlink" Target="https://joinnavy.navy.mil.bd" TargetMode="External"/><Relationship Id="rId189" Type="http://schemas.openxmlformats.org/officeDocument/2006/relationships/hyperlink" Target="https://aibasavar.edu.bd" TargetMode="External"/><Relationship Id="rId188" Type="http://schemas.openxmlformats.org/officeDocument/2006/relationships/hyperlink" Target="https://aibasylhet.edu.bd/admission" TargetMode="External"/><Relationship Id="rId183" Type="http://schemas.openxmlformats.org/officeDocument/2006/relationships/hyperlink" Target="https://bna.navy.mil.bd" TargetMode="External"/><Relationship Id="rId182" Type="http://schemas.openxmlformats.org/officeDocument/2006/relationships/hyperlink" Target="http://admission.bup.edu.bd" TargetMode="External"/><Relationship Id="rId181" Type="http://schemas.openxmlformats.org/officeDocument/2006/relationships/hyperlink" Target="http://bup.edu.bd" TargetMode="External"/><Relationship Id="rId180" Type="http://schemas.openxmlformats.org/officeDocument/2006/relationships/hyperlink" Target="https://admission.mist.ac.bd" TargetMode="External"/><Relationship Id="rId176" Type="http://schemas.openxmlformats.org/officeDocument/2006/relationships/hyperlink" Target="https://acas.edu.bd" TargetMode="External"/><Relationship Id="rId297" Type="http://schemas.openxmlformats.org/officeDocument/2006/relationships/hyperlink" Target="https://dgnm.gov.bd" TargetMode="External"/><Relationship Id="rId175" Type="http://schemas.openxmlformats.org/officeDocument/2006/relationships/hyperlink" Target="https://www.bau.edu.bd" TargetMode="External"/><Relationship Id="rId296" Type="http://schemas.openxmlformats.org/officeDocument/2006/relationships/hyperlink" Target="http://bnmc.teletalk.com.bd" TargetMode="External"/><Relationship Id="rId174" Type="http://schemas.openxmlformats.org/officeDocument/2006/relationships/hyperlink" Target="https://acas.edu.bd" TargetMode="External"/><Relationship Id="rId295" Type="http://schemas.openxmlformats.org/officeDocument/2006/relationships/hyperlink" Target="https://dgnm.gov.bd" TargetMode="External"/><Relationship Id="rId173" Type="http://schemas.openxmlformats.org/officeDocument/2006/relationships/hyperlink" Target="https://www.cvasu.ac.bd" TargetMode="External"/><Relationship Id="rId294" Type="http://schemas.openxmlformats.org/officeDocument/2006/relationships/hyperlink" Target="http://dgme.teletalk.com.bd" TargetMode="External"/><Relationship Id="rId179" Type="http://schemas.openxmlformats.org/officeDocument/2006/relationships/hyperlink" Target="https://mist.ac.bd" TargetMode="External"/><Relationship Id="rId178" Type="http://schemas.openxmlformats.org/officeDocument/2006/relationships/hyperlink" Target="https://acas.edu.bd" TargetMode="External"/><Relationship Id="rId299" Type="http://schemas.openxmlformats.org/officeDocument/2006/relationships/hyperlink" Target="https://dgnm.gov.bd" TargetMode="External"/><Relationship Id="rId177" Type="http://schemas.openxmlformats.org/officeDocument/2006/relationships/hyperlink" Target="https://bsmrau.edu.bd" TargetMode="External"/><Relationship Id="rId298" Type="http://schemas.openxmlformats.org/officeDocument/2006/relationships/hyperlink" Target="http://bnmc.teletalk.com.bd" TargetMode="External"/><Relationship Id="rId198" Type="http://schemas.openxmlformats.org/officeDocument/2006/relationships/hyperlink" Target="http://afmc.teletalk.com.bd/" TargetMode="External"/><Relationship Id="rId197" Type="http://schemas.openxmlformats.org/officeDocument/2006/relationships/hyperlink" Target="https://amccomilla.edu.bd/" TargetMode="External"/><Relationship Id="rId196" Type="http://schemas.openxmlformats.org/officeDocument/2006/relationships/hyperlink" Target="http://afmc.teletalk.com.bd/" TargetMode="External"/><Relationship Id="rId195" Type="http://schemas.openxmlformats.org/officeDocument/2006/relationships/hyperlink" Target="https://amcj.edu.bd/" TargetMode="External"/><Relationship Id="rId199" Type="http://schemas.openxmlformats.org/officeDocument/2006/relationships/hyperlink" Target="https://amcc.edu.bd/" TargetMode="External"/><Relationship Id="rId150" Type="http://schemas.openxmlformats.org/officeDocument/2006/relationships/hyperlink" Target="https://dgme.teletalk.com.bd" TargetMode="External"/><Relationship Id="rId271" Type="http://schemas.openxmlformats.org/officeDocument/2006/relationships/hyperlink" Target="http://bec.ac.bd/" TargetMode="External"/><Relationship Id="rId392" Type="http://schemas.openxmlformats.org/officeDocument/2006/relationships/hyperlink" Target="http://bnmc.teletalk.com.bd" TargetMode="External"/><Relationship Id="rId270" Type="http://schemas.openxmlformats.org/officeDocument/2006/relationships/hyperlink" Target="http://dot.teletalk.com.bd" TargetMode="External"/><Relationship Id="rId391" Type="http://schemas.openxmlformats.org/officeDocument/2006/relationships/hyperlink" Target="https://dgnm.gov.bd" TargetMode="External"/><Relationship Id="rId390" Type="http://schemas.openxmlformats.org/officeDocument/2006/relationships/hyperlink" Target="http://bnmc.teletalk.com.bd" TargetMode="External"/><Relationship Id="rId1" Type="http://schemas.openxmlformats.org/officeDocument/2006/relationships/hyperlink" Target="http://www.nu.ac.bd" TargetMode="External"/><Relationship Id="rId2" Type="http://schemas.openxmlformats.org/officeDocument/2006/relationships/hyperlink" Target="http://www.nu.ac.bd/admissions" TargetMode="External"/><Relationship Id="rId3" Type="http://schemas.openxmlformats.org/officeDocument/2006/relationships/hyperlink" Target="http://www.du.ac.bd" TargetMode="External"/><Relationship Id="rId149" Type="http://schemas.openxmlformats.org/officeDocument/2006/relationships/hyperlink" Target="https://cmmc.gov.bd" TargetMode="External"/><Relationship Id="rId4" Type="http://schemas.openxmlformats.org/officeDocument/2006/relationships/hyperlink" Target="http://admission.eis.du.ac.bd" TargetMode="External"/><Relationship Id="rId148" Type="http://schemas.openxmlformats.org/officeDocument/2006/relationships/hyperlink" Target="https://dgme.teletalk.com.bd" TargetMode="External"/><Relationship Id="rId269" Type="http://schemas.openxmlformats.org/officeDocument/2006/relationships/hyperlink" Target="http://ctec.gov.bd" TargetMode="External"/><Relationship Id="rId9" Type="http://schemas.openxmlformats.org/officeDocument/2006/relationships/hyperlink" Target="https://cu.ac.bd" TargetMode="External"/><Relationship Id="rId143" Type="http://schemas.openxmlformats.org/officeDocument/2006/relationships/hyperlink" Target="https://dmc.gov.bd" TargetMode="External"/><Relationship Id="rId264" Type="http://schemas.openxmlformats.org/officeDocument/2006/relationships/hyperlink" Target="http://eis.du.ac.bd" TargetMode="External"/><Relationship Id="rId385" Type="http://schemas.openxmlformats.org/officeDocument/2006/relationships/hyperlink" Target="https://dgnm.gov.bd" TargetMode="External"/><Relationship Id="rId142" Type="http://schemas.openxmlformats.org/officeDocument/2006/relationships/hyperlink" Target="https://dgme.teletalk.com.bd" TargetMode="External"/><Relationship Id="rId263" Type="http://schemas.openxmlformats.org/officeDocument/2006/relationships/hyperlink" Target="http://fec.ac.bd" TargetMode="External"/><Relationship Id="rId384" Type="http://schemas.openxmlformats.org/officeDocument/2006/relationships/hyperlink" Target="http://bnmc.teletalk.com.bd" TargetMode="External"/><Relationship Id="rId141" Type="http://schemas.openxmlformats.org/officeDocument/2006/relationships/hyperlink" Target="https://bsmmcf.gov.bd" TargetMode="External"/><Relationship Id="rId262" Type="http://schemas.openxmlformats.org/officeDocument/2006/relationships/hyperlink" Target="https://dot.teletalk.com.bd" TargetMode="External"/><Relationship Id="rId383" Type="http://schemas.openxmlformats.org/officeDocument/2006/relationships/hyperlink" Target="https://dgnm.gov.bd" TargetMode="External"/><Relationship Id="rId140" Type="http://schemas.openxmlformats.org/officeDocument/2006/relationships/hyperlink" Target="https://dgme.teletalk.com.bd" TargetMode="External"/><Relationship Id="rId261" Type="http://schemas.openxmlformats.org/officeDocument/2006/relationships/hyperlink" Target="https://gtec.gov.bd" TargetMode="External"/><Relationship Id="rId382" Type="http://schemas.openxmlformats.org/officeDocument/2006/relationships/hyperlink" Target="http://bnmc.teletalk.com.bd" TargetMode="External"/><Relationship Id="rId5" Type="http://schemas.openxmlformats.org/officeDocument/2006/relationships/hyperlink" Target="http://www.iba-du.edu" TargetMode="External"/><Relationship Id="rId147" Type="http://schemas.openxmlformats.org/officeDocument/2006/relationships/hyperlink" Target="https://coxmc.gov.bd" TargetMode="External"/><Relationship Id="rId268" Type="http://schemas.openxmlformats.org/officeDocument/2006/relationships/hyperlink" Target="http://eis.du.ac.bd" TargetMode="External"/><Relationship Id="rId389" Type="http://schemas.openxmlformats.org/officeDocument/2006/relationships/hyperlink" Target="https://dgnm.gov.bd" TargetMode="External"/><Relationship Id="rId6" Type="http://schemas.openxmlformats.org/officeDocument/2006/relationships/hyperlink" Target="http://admission.eis.du.ac.bd" TargetMode="External"/><Relationship Id="rId146" Type="http://schemas.openxmlformats.org/officeDocument/2006/relationships/hyperlink" Target="https://dgme.teletalk.com.bd" TargetMode="External"/><Relationship Id="rId267" Type="http://schemas.openxmlformats.org/officeDocument/2006/relationships/hyperlink" Target="http://che.gov.bd" TargetMode="External"/><Relationship Id="rId388" Type="http://schemas.openxmlformats.org/officeDocument/2006/relationships/hyperlink" Target="http://bnmc.teletalk.com.bd" TargetMode="External"/><Relationship Id="rId7" Type="http://schemas.openxmlformats.org/officeDocument/2006/relationships/hyperlink" Target="https://www.ru.ac.bd" TargetMode="External"/><Relationship Id="rId145" Type="http://schemas.openxmlformats.org/officeDocument/2006/relationships/hyperlink" Target="https://cumc.gov.bd" TargetMode="External"/><Relationship Id="rId266" Type="http://schemas.openxmlformats.org/officeDocument/2006/relationships/hyperlink" Target="https://dot.teletalk.com.bd" TargetMode="External"/><Relationship Id="rId387" Type="http://schemas.openxmlformats.org/officeDocument/2006/relationships/hyperlink" Target="https://dgnm.gov.bd" TargetMode="External"/><Relationship Id="rId8" Type="http://schemas.openxmlformats.org/officeDocument/2006/relationships/hyperlink" Target="https://admission.ru.ac.bd" TargetMode="External"/><Relationship Id="rId144" Type="http://schemas.openxmlformats.org/officeDocument/2006/relationships/hyperlink" Target="https://dgme.teletalk.com.bd" TargetMode="External"/><Relationship Id="rId265" Type="http://schemas.openxmlformats.org/officeDocument/2006/relationships/hyperlink" Target="https://mawmtec.gov.bd/" TargetMode="External"/><Relationship Id="rId386" Type="http://schemas.openxmlformats.org/officeDocument/2006/relationships/hyperlink" Target="http://bnmc.teletalk.com.bd" TargetMode="External"/><Relationship Id="rId260" Type="http://schemas.openxmlformats.org/officeDocument/2006/relationships/hyperlink" Target="http://dot.teletalk.com.bd" TargetMode="External"/><Relationship Id="rId381" Type="http://schemas.openxmlformats.org/officeDocument/2006/relationships/hyperlink" Target="https://dgnm.gov.bd" TargetMode="External"/><Relationship Id="rId380" Type="http://schemas.openxmlformats.org/officeDocument/2006/relationships/hyperlink" Target="http://bnmc.teletalk.com.bd" TargetMode="External"/><Relationship Id="rId139" Type="http://schemas.openxmlformats.org/officeDocument/2006/relationships/hyperlink" Target="https://jmc.gov.bd" TargetMode="External"/><Relationship Id="rId138" Type="http://schemas.openxmlformats.org/officeDocument/2006/relationships/hyperlink" Target="https://dgme.teletalk.com.bd" TargetMode="External"/><Relationship Id="rId259" Type="http://schemas.openxmlformats.org/officeDocument/2006/relationships/hyperlink" Target="http://jtec.gov.bd" TargetMode="External"/><Relationship Id="rId137" Type="http://schemas.openxmlformats.org/officeDocument/2006/relationships/hyperlink" Target="https://khulnamedicalcollege.edu.bd" TargetMode="External"/><Relationship Id="rId258" Type="http://schemas.openxmlformats.org/officeDocument/2006/relationships/hyperlink" Target="http://mfacademy.gov.bd" TargetMode="External"/><Relationship Id="rId379" Type="http://schemas.openxmlformats.org/officeDocument/2006/relationships/hyperlink" Target="https://dgnm.gov.bd" TargetMode="External"/><Relationship Id="rId132" Type="http://schemas.openxmlformats.org/officeDocument/2006/relationships/hyperlink" Target="https://dgme.teletalk.com.bd" TargetMode="External"/><Relationship Id="rId253" Type="http://schemas.openxmlformats.org/officeDocument/2006/relationships/hyperlink" Target="http://niter.edu.bd" TargetMode="External"/><Relationship Id="rId374" Type="http://schemas.openxmlformats.org/officeDocument/2006/relationships/hyperlink" Target="http://bnmc.teletalk.com.bd" TargetMode="External"/><Relationship Id="rId131" Type="http://schemas.openxmlformats.org/officeDocument/2006/relationships/hyperlink" Target="https://marmcd.gov.bd" TargetMode="External"/><Relationship Id="rId252" Type="http://schemas.openxmlformats.org/officeDocument/2006/relationships/hyperlink" Target="http://nmi.gov.bd" TargetMode="External"/><Relationship Id="rId373" Type="http://schemas.openxmlformats.org/officeDocument/2006/relationships/hyperlink" Target="https://dgnm.gov.bd" TargetMode="External"/><Relationship Id="rId130" Type="http://schemas.openxmlformats.org/officeDocument/2006/relationships/hyperlink" Target="https://dgme.teletalk.com.bd" TargetMode="External"/><Relationship Id="rId251" Type="http://schemas.openxmlformats.org/officeDocument/2006/relationships/hyperlink" Target="http://nmi.gov.bd/" TargetMode="External"/><Relationship Id="rId372" Type="http://schemas.openxmlformats.org/officeDocument/2006/relationships/hyperlink" Target="http://bnmc.teletalk.com.bd" TargetMode="External"/><Relationship Id="rId250" Type="http://schemas.openxmlformats.org/officeDocument/2006/relationships/hyperlink" Target="http://dot.teletalk.com.bd" TargetMode="External"/><Relationship Id="rId371" Type="http://schemas.openxmlformats.org/officeDocument/2006/relationships/hyperlink" Target="https://dgnm.gov.bd" TargetMode="External"/><Relationship Id="rId136" Type="http://schemas.openxmlformats.org/officeDocument/2006/relationships/hyperlink" Target="https://dgme.gov.bd" TargetMode="External"/><Relationship Id="rId257" Type="http://schemas.openxmlformats.org/officeDocument/2006/relationships/hyperlink" Target="http://mfacademy.gov.bd/" TargetMode="External"/><Relationship Id="rId378" Type="http://schemas.openxmlformats.org/officeDocument/2006/relationships/hyperlink" Target="http://bnmc.teletalk.com.bd" TargetMode="External"/><Relationship Id="rId135" Type="http://schemas.openxmlformats.org/officeDocument/2006/relationships/hyperlink" Target="https://kmu.ac.bd" TargetMode="External"/><Relationship Id="rId256" Type="http://schemas.openxmlformats.org/officeDocument/2006/relationships/hyperlink" Target="http://eis.du.ac.bd" TargetMode="External"/><Relationship Id="rId377" Type="http://schemas.openxmlformats.org/officeDocument/2006/relationships/hyperlink" Target="https://dgnm.gov.bd" TargetMode="External"/><Relationship Id="rId134" Type="http://schemas.openxmlformats.org/officeDocument/2006/relationships/hyperlink" Target="https://dgme.teletalk.com.bd" TargetMode="External"/><Relationship Id="rId255" Type="http://schemas.openxmlformats.org/officeDocument/2006/relationships/hyperlink" Target="http://mec.ac.bd" TargetMode="External"/><Relationship Id="rId376" Type="http://schemas.openxmlformats.org/officeDocument/2006/relationships/hyperlink" Target="http://bnmc.teletalk.com.bd" TargetMode="External"/><Relationship Id="rId133" Type="http://schemas.openxmlformats.org/officeDocument/2006/relationships/hyperlink" Target="https://kumc.gov.bd" TargetMode="External"/><Relationship Id="rId254" Type="http://schemas.openxmlformats.org/officeDocument/2006/relationships/hyperlink" Target="http://niter.edu.bd" TargetMode="External"/><Relationship Id="rId375" Type="http://schemas.openxmlformats.org/officeDocument/2006/relationships/hyperlink" Target="https://dgnm.gov.bd" TargetMode="External"/><Relationship Id="rId172" Type="http://schemas.openxmlformats.org/officeDocument/2006/relationships/hyperlink" Target="https://acas.edu.bd" TargetMode="External"/><Relationship Id="rId293" Type="http://schemas.openxmlformats.org/officeDocument/2006/relationships/hyperlink" Target="http://www.cmc.edu.bd" TargetMode="External"/><Relationship Id="rId171" Type="http://schemas.openxmlformats.org/officeDocument/2006/relationships/hyperlink" Target="https://www.hau.ac.bd" TargetMode="External"/><Relationship Id="rId292" Type="http://schemas.openxmlformats.org/officeDocument/2006/relationships/hyperlink" Target="http://dgme.teletalk.com.bd" TargetMode="External"/><Relationship Id="rId170" Type="http://schemas.openxmlformats.org/officeDocument/2006/relationships/hyperlink" Target="https://acas.edu.bd" TargetMode="External"/><Relationship Id="rId291" Type="http://schemas.openxmlformats.org/officeDocument/2006/relationships/hyperlink" Target="http://www.ddc.gov.bd" TargetMode="External"/><Relationship Id="rId290" Type="http://schemas.openxmlformats.org/officeDocument/2006/relationships/hyperlink" Target="http://dgme.teletalk.com.bd" TargetMode="External"/><Relationship Id="rId165" Type="http://schemas.openxmlformats.org/officeDocument/2006/relationships/hyperlink" Target="https://www.sau.edu.bd" TargetMode="External"/><Relationship Id="rId286" Type="http://schemas.openxmlformats.org/officeDocument/2006/relationships/hyperlink" Target="http://dgme.teletalk.com.bd" TargetMode="External"/><Relationship Id="rId164" Type="http://schemas.openxmlformats.org/officeDocument/2006/relationships/hyperlink" Target="https://acas.edu.bd" TargetMode="External"/><Relationship Id="rId285" Type="http://schemas.openxmlformats.org/officeDocument/2006/relationships/hyperlink" Target="http://www.rmc.ac.bd" TargetMode="External"/><Relationship Id="rId163" Type="http://schemas.openxmlformats.org/officeDocument/2006/relationships/hyperlink" Target="https://www.sau.ac.bd" TargetMode="External"/><Relationship Id="rId284" Type="http://schemas.openxmlformats.org/officeDocument/2006/relationships/hyperlink" Target="http://dgme.teletalk.com.bd" TargetMode="External"/><Relationship Id="rId162" Type="http://schemas.openxmlformats.org/officeDocument/2006/relationships/hyperlink" Target="https://dgme.teletalk.com.bd" TargetMode="External"/><Relationship Id="rId283" Type="http://schemas.openxmlformats.org/officeDocument/2006/relationships/hyperlink" Target="https://www.google.com/search?q=https://www.rpmedicalcollege.com" TargetMode="External"/><Relationship Id="rId169" Type="http://schemas.openxmlformats.org/officeDocument/2006/relationships/hyperlink" Target="https://www.kau.edu.bd" TargetMode="External"/><Relationship Id="rId168" Type="http://schemas.openxmlformats.org/officeDocument/2006/relationships/hyperlink" Target="https://acas.edu.bd" TargetMode="External"/><Relationship Id="rId289" Type="http://schemas.openxmlformats.org/officeDocument/2006/relationships/hyperlink" Target="https://www.magosmanimedical.com/" TargetMode="External"/><Relationship Id="rId167" Type="http://schemas.openxmlformats.org/officeDocument/2006/relationships/hyperlink" Target="https://www.kuriau.edu.bd" TargetMode="External"/><Relationship Id="rId288" Type="http://schemas.openxmlformats.org/officeDocument/2006/relationships/hyperlink" Target="http://dgme.teletalk.com.bd" TargetMode="External"/><Relationship Id="rId166" Type="http://schemas.openxmlformats.org/officeDocument/2006/relationships/hyperlink" Target="https://acas.edu.bd" TargetMode="External"/><Relationship Id="rId287" Type="http://schemas.openxmlformats.org/officeDocument/2006/relationships/hyperlink" Target="http://www.mmc.gov.bd" TargetMode="External"/><Relationship Id="rId161" Type="http://schemas.openxmlformats.org/officeDocument/2006/relationships/hyperlink" Target="https://amumc.gov.bd" TargetMode="External"/><Relationship Id="rId282" Type="http://schemas.openxmlformats.org/officeDocument/2006/relationships/hyperlink" Target="http://dgme.teletalk.com.bd" TargetMode="External"/><Relationship Id="rId160" Type="http://schemas.openxmlformats.org/officeDocument/2006/relationships/hyperlink" Target="https://admission.bsmmu.edu.bd" TargetMode="External"/><Relationship Id="rId281" Type="http://schemas.openxmlformats.org/officeDocument/2006/relationships/hyperlink" Target="http://www.shsmc.gov.bd" TargetMode="External"/><Relationship Id="rId280" Type="http://schemas.openxmlformats.org/officeDocument/2006/relationships/hyperlink" Target="http://dgme.teletalk.com.bd" TargetMode="External"/><Relationship Id="rId159" Type="http://schemas.openxmlformats.org/officeDocument/2006/relationships/hyperlink" Target="https://bsmmu.edu.bd" TargetMode="External"/><Relationship Id="rId154" Type="http://schemas.openxmlformats.org/officeDocument/2006/relationships/hyperlink" Target="https://dgme.teletalk.com.bd" TargetMode="External"/><Relationship Id="rId275" Type="http://schemas.openxmlformats.org/officeDocument/2006/relationships/hyperlink" Target="http://btec.tangail.gov.bd/" TargetMode="External"/><Relationship Id="rId396" Type="http://schemas.openxmlformats.org/officeDocument/2006/relationships/hyperlink" Target="http://bnmc.teletalk.com.bd" TargetMode="External"/><Relationship Id="rId153" Type="http://schemas.openxmlformats.org/officeDocument/2006/relationships/hyperlink" Target="https://cmc.gov.bd" TargetMode="External"/><Relationship Id="rId274" Type="http://schemas.openxmlformats.org/officeDocument/2006/relationships/hyperlink" Target="http://bsmrmu.edu.bd" TargetMode="External"/><Relationship Id="rId395" Type="http://schemas.openxmlformats.org/officeDocument/2006/relationships/hyperlink" Target="https://dgnm.gov.bd" TargetMode="External"/><Relationship Id="rId152" Type="http://schemas.openxmlformats.org/officeDocument/2006/relationships/hyperlink" Target="https://dgme.gov.bd" TargetMode="External"/><Relationship Id="rId273" Type="http://schemas.openxmlformats.org/officeDocument/2006/relationships/hyperlink" Target="http://macademy.gov.bd/" TargetMode="External"/><Relationship Id="rId394" Type="http://schemas.openxmlformats.org/officeDocument/2006/relationships/hyperlink" Target="http://bnmc.teletalk.com.bd" TargetMode="External"/><Relationship Id="rId151" Type="http://schemas.openxmlformats.org/officeDocument/2006/relationships/hyperlink" Target="https://cmu.edu.bd" TargetMode="External"/><Relationship Id="rId272" Type="http://schemas.openxmlformats.org/officeDocument/2006/relationships/hyperlink" Target="http://eis.du.ac.bd" TargetMode="External"/><Relationship Id="rId393" Type="http://schemas.openxmlformats.org/officeDocument/2006/relationships/hyperlink" Target="https://dgnm.gov.bd" TargetMode="External"/><Relationship Id="rId158" Type="http://schemas.openxmlformats.org/officeDocument/2006/relationships/hyperlink" Target="https://bsfmmu.edu.bd/admission" TargetMode="External"/><Relationship Id="rId279" Type="http://schemas.openxmlformats.org/officeDocument/2006/relationships/hyperlink" Target="http://www.sbmc.edu.bd" TargetMode="External"/><Relationship Id="rId157" Type="http://schemas.openxmlformats.org/officeDocument/2006/relationships/hyperlink" Target="https://bsfmmu.edu.bd" TargetMode="External"/><Relationship Id="rId278" Type="http://schemas.openxmlformats.org/officeDocument/2006/relationships/hyperlink" Target="http://dgme.teletalk.com.bd" TargetMode="External"/><Relationship Id="rId399" Type="http://schemas.openxmlformats.org/officeDocument/2006/relationships/hyperlink" Target="https://dgnm.gov.bd" TargetMode="External"/><Relationship Id="rId156" Type="http://schemas.openxmlformats.org/officeDocument/2006/relationships/hyperlink" Target="https://dgme.teletalk.com.bd" TargetMode="External"/><Relationship Id="rId277" Type="http://schemas.openxmlformats.org/officeDocument/2006/relationships/hyperlink" Target="http://www.ssmc.gov.bd" TargetMode="External"/><Relationship Id="rId398" Type="http://schemas.openxmlformats.org/officeDocument/2006/relationships/hyperlink" Target="http://bnmc.teletalk.com.bd" TargetMode="External"/><Relationship Id="rId155" Type="http://schemas.openxmlformats.org/officeDocument/2006/relationships/hyperlink" Target="https://chmc.gov.bd" TargetMode="External"/><Relationship Id="rId276" Type="http://schemas.openxmlformats.org/officeDocument/2006/relationships/hyperlink" Target="http://dot.gov.bd" TargetMode="External"/><Relationship Id="rId397" Type="http://schemas.openxmlformats.org/officeDocument/2006/relationships/hyperlink" Target="https://dgnm.gov.bd" TargetMode="External"/><Relationship Id="rId40" Type="http://schemas.openxmlformats.org/officeDocument/2006/relationships/hyperlink" Target="https://www.google.com/search?q=https://gstadmission.ac.bd" TargetMode="External"/><Relationship Id="rId42" Type="http://schemas.openxmlformats.org/officeDocument/2006/relationships/hyperlink" Target="https://www.google.com/search?q=https://gstadmission.ac.bd" TargetMode="External"/><Relationship Id="rId41" Type="http://schemas.openxmlformats.org/officeDocument/2006/relationships/hyperlink" Target="https://neu.ac.bd/" TargetMode="External"/><Relationship Id="rId44" Type="http://schemas.openxmlformats.org/officeDocument/2006/relationships/hyperlink" Target="https://gstadmission.ac.bd" TargetMode="External"/><Relationship Id="rId43" Type="http://schemas.openxmlformats.org/officeDocument/2006/relationships/hyperlink" Target="https://nau.ac.bd" TargetMode="External"/><Relationship Id="rId46" Type="http://schemas.openxmlformats.org/officeDocument/2006/relationships/hyperlink" Target="https://admission.kiu.ac.bd" TargetMode="External"/><Relationship Id="rId45" Type="http://schemas.openxmlformats.org/officeDocument/2006/relationships/hyperlink" Target="https://kiu.ac.bd" TargetMode="External"/><Relationship Id="rId48" Type="http://schemas.openxmlformats.org/officeDocument/2006/relationships/hyperlink" Target="https://gstadmission.ac.bd" TargetMode="External"/><Relationship Id="rId47" Type="http://schemas.openxmlformats.org/officeDocument/2006/relationships/hyperlink" Target="https://jkkniu.edu.bd" TargetMode="External"/><Relationship Id="rId49" Type="http://schemas.openxmlformats.org/officeDocument/2006/relationships/hyperlink" Target="https://jstu.ac.bd" TargetMode="External"/><Relationship Id="rId31" Type="http://schemas.openxmlformats.org/officeDocument/2006/relationships/hyperlink" Target="http://www.hstu.ac.bd" TargetMode="External"/><Relationship Id="rId30" Type="http://schemas.openxmlformats.org/officeDocument/2006/relationships/hyperlink" Target="https://admission.iutoic-dhaka.edu" TargetMode="External"/><Relationship Id="rId33" Type="http://schemas.openxmlformats.org/officeDocument/2006/relationships/hyperlink" Target="https://iu.ac.bd" TargetMode="External"/><Relationship Id="rId32" Type="http://schemas.openxmlformats.org/officeDocument/2006/relationships/hyperlink" Target="http://admission.hstu.ac.bd" TargetMode="External"/><Relationship Id="rId35" Type="http://schemas.openxmlformats.org/officeDocument/2006/relationships/hyperlink" Target="https://www.uftb.ac.bd" TargetMode="External"/><Relationship Id="rId34" Type="http://schemas.openxmlformats.org/officeDocument/2006/relationships/hyperlink" Target="https://gstadmission.ac.bd" TargetMode="External"/><Relationship Id="rId37" Type="http://schemas.openxmlformats.org/officeDocument/2006/relationships/hyperlink" Target="https://bu.ac.bd/" TargetMode="External"/><Relationship Id="rId36" Type="http://schemas.openxmlformats.org/officeDocument/2006/relationships/hyperlink" Target="https://admission.uftb.ac.bd" TargetMode="External"/><Relationship Id="rId39" Type="http://schemas.openxmlformats.org/officeDocument/2006/relationships/hyperlink" Target="https://rub.ac.bd/" TargetMode="External"/><Relationship Id="rId38" Type="http://schemas.openxmlformats.org/officeDocument/2006/relationships/hyperlink" Target="https://www.google.com/search?q=https://gstadmission.ac.bd" TargetMode="External"/><Relationship Id="rId20" Type="http://schemas.openxmlformats.org/officeDocument/2006/relationships/hyperlink" Target="http://admission.ruet.ac.bd" TargetMode="External"/><Relationship Id="rId22" Type="http://schemas.openxmlformats.org/officeDocument/2006/relationships/hyperlink" Target="http://admission.kuet.ac.bd" TargetMode="External"/><Relationship Id="rId21" Type="http://schemas.openxmlformats.org/officeDocument/2006/relationships/hyperlink" Target="http://www.kuet.ac.bd" TargetMode="External"/><Relationship Id="rId24" Type="http://schemas.openxmlformats.org/officeDocument/2006/relationships/hyperlink" Target="http://admission.cuet.ac.bd" TargetMode="External"/><Relationship Id="rId23" Type="http://schemas.openxmlformats.org/officeDocument/2006/relationships/hyperlink" Target="http://www.cuet.ac.bd" TargetMode="External"/><Relationship Id="rId409" Type="http://schemas.openxmlformats.org/officeDocument/2006/relationships/table" Target="../tables/table1.xml"/><Relationship Id="rId403" Type="http://schemas.openxmlformats.org/officeDocument/2006/relationships/drawing" Target="../drawings/drawing1.xml"/><Relationship Id="rId402" Type="http://schemas.openxmlformats.org/officeDocument/2006/relationships/hyperlink" Target="http://bnmc.teletalk.com.bd" TargetMode="External"/><Relationship Id="rId401" Type="http://schemas.openxmlformats.org/officeDocument/2006/relationships/hyperlink" Target="https://dgnm.gov.bd" TargetMode="External"/><Relationship Id="rId26" Type="http://schemas.openxmlformats.org/officeDocument/2006/relationships/hyperlink" Target="http://admission.sust.edu.bd" TargetMode="External"/><Relationship Id="rId25" Type="http://schemas.openxmlformats.org/officeDocument/2006/relationships/hyperlink" Target="http://www.sust.edu" TargetMode="External"/><Relationship Id="rId28" Type="http://schemas.openxmlformats.org/officeDocument/2006/relationships/hyperlink" Target="https://admission.duet.ac.bd/" TargetMode="External"/><Relationship Id="rId27" Type="http://schemas.openxmlformats.org/officeDocument/2006/relationships/hyperlink" Target="https://www.duet.ac.bd/" TargetMode="External"/><Relationship Id="rId400" Type="http://schemas.openxmlformats.org/officeDocument/2006/relationships/hyperlink" Target="http://bnmc.teletalk.com.bd" TargetMode="External"/><Relationship Id="rId29" Type="http://schemas.openxmlformats.org/officeDocument/2006/relationships/hyperlink" Target="https://www.iutoic-dhaka.edu" TargetMode="External"/><Relationship Id="rId11" Type="http://schemas.openxmlformats.org/officeDocument/2006/relationships/hyperlink" Target="http://www.ku.ac.bd" TargetMode="External"/><Relationship Id="rId10" Type="http://schemas.openxmlformats.org/officeDocument/2006/relationships/hyperlink" Target="https://admission.cu.ac.bd" TargetMode="External"/><Relationship Id="rId13" Type="http://schemas.openxmlformats.org/officeDocument/2006/relationships/hyperlink" Target="http://www.juniv.edu" TargetMode="External"/><Relationship Id="rId12" Type="http://schemas.openxmlformats.org/officeDocument/2006/relationships/hyperlink" Target="http://admission.ku.ac.bd" TargetMode="External"/><Relationship Id="rId15" Type="http://schemas.openxmlformats.org/officeDocument/2006/relationships/hyperlink" Target="http://www.jnu.ac.bd" TargetMode="External"/><Relationship Id="rId14" Type="http://schemas.openxmlformats.org/officeDocument/2006/relationships/hyperlink" Target="http://ju-admission.org" TargetMode="External"/><Relationship Id="rId17" Type="http://schemas.openxmlformats.org/officeDocument/2006/relationships/hyperlink" Target="http://www.buet.ac.bd" TargetMode="External"/><Relationship Id="rId16" Type="http://schemas.openxmlformats.org/officeDocument/2006/relationships/hyperlink" Target="http://admission.jnu.ac.bd" TargetMode="External"/><Relationship Id="rId19" Type="http://schemas.openxmlformats.org/officeDocument/2006/relationships/hyperlink" Target="http://www.ruet.ac.bd" TargetMode="External"/><Relationship Id="rId18" Type="http://schemas.openxmlformats.org/officeDocument/2006/relationships/hyperlink" Target="http://admission.buet.ac.bd" TargetMode="External"/><Relationship Id="rId84" Type="http://schemas.openxmlformats.org/officeDocument/2006/relationships/hyperlink" Target="https://dgme.teletalk.com.bd" TargetMode="External"/><Relationship Id="rId83" Type="http://schemas.openxmlformats.org/officeDocument/2006/relationships/hyperlink" Target="https://ssmc.gov.bd" TargetMode="External"/><Relationship Id="rId86" Type="http://schemas.openxmlformats.org/officeDocument/2006/relationships/hyperlink" Target="https://dgme.teletalk.com.bd" TargetMode="External"/><Relationship Id="rId85" Type="http://schemas.openxmlformats.org/officeDocument/2006/relationships/hyperlink" Target="https://sbmc.gov.bd" TargetMode="External"/><Relationship Id="rId88" Type="http://schemas.openxmlformats.org/officeDocument/2006/relationships/hyperlink" Target="https://dgme.teletalk.com.bd" TargetMode="External"/><Relationship Id="rId87" Type="http://schemas.openxmlformats.org/officeDocument/2006/relationships/hyperlink" Target="https://sskmc.gov.bd" TargetMode="External"/><Relationship Id="rId89" Type="http://schemas.openxmlformats.org/officeDocument/2006/relationships/hyperlink" Target="https://shmct.gov.bd" TargetMode="External"/><Relationship Id="rId80" Type="http://schemas.openxmlformats.org/officeDocument/2006/relationships/hyperlink" Target="https://gstadmission.ac.bd" TargetMode="External"/><Relationship Id="rId82" Type="http://schemas.openxmlformats.org/officeDocument/2006/relationships/hyperlink" Target="https://dgme.teletalk.com.bd" TargetMode="External"/><Relationship Id="rId81" Type="http://schemas.openxmlformats.org/officeDocument/2006/relationships/hyperlink" Target="https://bmsmc.gov.bd" TargetMode="External"/><Relationship Id="rId73" Type="http://schemas.openxmlformats.org/officeDocument/2006/relationships/hyperlink" Target="https://pust.ac.bd/" TargetMode="External"/><Relationship Id="rId72" Type="http://schemas.openxmlformats.org/officeDocument/2006/relationships/hyperlink" Target="https://www.google.com/search?q=https://gstadmission.ac.bd" TargetMode="External"/><Relationship Id="rId75" Type="http://schemas.openxmlformats.org/officeDocument/2006/relationships/hyperlink" Target="https://nstu.edu.bd/" TargetMode="External"/><Relationship Id="rId74" Type="http://schemas.openxmlformats.org/officeDocument/2006/relationships/hyperlink" Target="https://www.google.com/search?q=https://gstadmission.ac.bd" TargetMode="External"/><Relationship Id="rId77" Type="http://schemas.openxmlformats.org/officeDocument/2006/relationships/hyperlink" Target="https://just.edu.bd/" TargetMode="External"/><Relationship Id="rId76" Type="http://schemas.openxmlformats.org/officeDocument/2006/relationships/hyperlink" Target="https://www.google.com/search?q=https://gstadmission.ac.bd" TargetMode="External"/><Relationship Id="rId79" Type="http://schemas.openxmlformats.org/officeDocument/2006/relationships/hyperlink" Target="https://bdu.ac.bd" TargetMode="External"/><Relationship Id="rId78" Type="http://schemas.openxmlformats.org/officeDocument/2006/relationships/hyperlink" Target="https://www.google.com/search?q=https://gstadmission.ac.bd" TargetMode="External"/><Relationship Id="rId71" Type="http://schemas.openxmlformats.org/officeDocument/2006/relationships/hyperlink" Target="https://pstu.ac.bd/" TargetMode="External"/><Relationship Id="rId70" Type="http://schemas.openxmlformats.org/officeDocument/2006/relationships/hyperlink" Target="https://www.google.com/search?q=https://gstadmission.ac.bd" TargetMode="External"/><Relationship Id="rId62" Type="http://schemas.openxmlformats.org/officeDocument/2006/relationships/hyperlink" Target="https://www.google.com/search?q=https://gstadmission.ac.bd" TargetMode="External"/><Relationship Id="rId61" Type="http://schemas.openxmlformats.org/officeDocument/2006/relationships/hyperlink" Target="https://mbstu.ac.bd/" TargetMode="External"/><Relationship Id="rId64" Type="http://schemas.openxmlformats.org/officeDocument/2006/relationships/hyperlink" Target="https://gstadmission.ac.bd" TargetMode="External"/><Relationship Id="rId63" Type="http://schemas.openxmlformats.org/officeDocument/2006/relationships/hyperlink" Target="https://sstu.ac.bd" TargetMode="External"/><Relationship Id="rId66" Type="http://schemas.openxmlformats.org/officeDocument/2006/relationships/hyperlink" Target="http://gstadmission.ac.bd" TargetMode="External"/><Relationship Id="rId65" Type="http://schemas.openxmlformats.org/officeDocument/2006/relationships/hyperlink" Target="http://www.satstu.ac.bd" TargetMode="External"/><Relationship Id="rId68" Type="http://schemas.openxmlformats.org/officeDocument/2006/relationships/hyperlink" Target="https://gstadmission.ac.bd" TargetMode="External"/><Relationship Id="rId67" Type="http://schemas.openxmlformats.org/officeDocument/2006/relationships/hyperlink" Target="https://rmstu.ac.bd" TargetMode="External"/><Relationship Id="rId60" Type="http://schemas.openxmlformats.org/officeDocument/2006/relationships/hyperlink" Target="https://gstadmission.ac.bd" TargetMode="External"/><Relationship Id="rId69" Type="http://schemas.openxmlformats.org/officeDocument/2006/relationships/hyperlink" Target="https://prstu.ac.bd/" TargetMode="External"/><Relationship Id="rId51" Type="http://schemas.openxmlformats.org/officeDocument/2006/relationships/hyperlink" Target="https://gstu.edu.bd" TargetMode="External"/><Relationship Id="rId50" Type="http://schemas.openxmlformats.org/officeDocument/2006/relationships/hyperlink" Target="https://gstadmission.ac.bd" TargetMode="External"/><Relationship Id="rId53" Type="http://schemas.openxmlformats.org/officeDocument/2006/relationships/hyperlink" Target="https://www.cstu.ac.bd" TargetMode="External"/><Relationship Id="rId52" Type="http://schemas.openxmlformats.org/officeDocument/2006/relationships/hyperlink" Target="https://www.gstu.edu.bd/admission" TargetMode="External"/><Relationship Id="rId55" Type="http://schemas.openxmlformats.org/officeDocument/2006/relationships/hyperlink" Target="https://brur.ac.bd/" TargetMode="External"/><Relationship Id="rId54" Type="http://schemas.openxmlformats.org/officeDocument/2006/relationships/hyperlink" Target="https://admission.cstu.ac.bd" TargetMode="External"/><Relationship Id="rId57" Type="http://schemas.openxmlformats.org/officeDocument/2006/relationships/hyperlink" Target="https://nuy.ac.bd" TargetMode="External"/><Relationship Id="rId56" Type="http://schemas.openxmlformats.org/officeDocument/2006/relationships/hyperlink" Target="https://www.google.com/search?q=https://gstadmission.ac.bd" TargetMode="External"/><Relationship Id="rId59" Type="http://schemas.openxmlformats.org/officeDocument/2006/relationships/hyperlink" Target="https://www.mum.ac.bd" TargetMode="External"/><Relationship Id="rId58" Type="http://schemas.openxmlformats.org/officeDocument/2006/relationships/hyperlink" Target="https://gstadmission.ac.bd" TargetMode="External"/><Relationship Id="rId107" Type="http://schemas.openxmlformats.org/officeDocument/2006/relationships/hyperlink" Target="https://ramc.gov.bd" TargetMode="External"/><Relationship Id="rId228" Type="http://schemas.openxmlformats.org/officeDocument/2006/relationships/hyperlink" Target="http://iau.edu.bd" TargetMode="External"/><Relationship Id="rId349" Type="http://schemas.openxmlformats.org/officeDocument/2006/relationships/hyperlink" Target="https://dgnm.gov.bd" TargetMode="External"/><Relationship Id="rId106" Type="http://schemas.openxmlformats.org/officeDocument/2006/relationships/hyperlink" Target="https://dgme.teletalk.com.bd" TargetMode="External"/><Relationship Id="rId227" Type="http://schemas.openxmlformats.org/officeDocument/2006/relationships/hyperlink" Target="http://iau.edu.bd" TargetMode="External"/><Relationship Id="rId348" Type="http://schemas.openxmlformats.org/officeDocument/2006/relationships/hyperlink" Target="http://bnmc.teletalk.com.bd" TargetMode="External"/><Relationship Id="rId105" Type="http://schemas.openxmlformats.org/officeDocument/2006/relationships/hyperlink" Target="https://rangpurmedical.gov.bd" TargetMode="External"/><Relationship Id="rId226" Type="http://schemas.openxmlformats.org/officeDocument/2006/relationships/hyperlink" Target="https://admission.bsmraau.edu.bd" TargetMode="External"/><Relationship Id="rId347" Type="http://schemas.openxmlformats.org/officeDocument/2006/relationships/hyperlink" Target="https://dgnm.gov.bd" TargetMode="External"/><Relationship Id="rId104" Type="http://schemas.openxmlformats.org/officeDocument/2006/relationships/hyperlink" Target="https://dgme.teletalk.com.bd" TargetMode="External"/><Relationship Id="rId225" Type="http://schemas.openxmlformats.org/officeDocument/2006/relationships/hyperlink" Target="https://bsmraau.edu.bd" TargetMode="External"/><Relationship Id="rId346" Type="http://schemas.openxmlformats.org/officeDocument/2006/relationships/hyperlink" Target="http://bnmc.teletalk.com.bd" TargetMode="External"/><Relationship Id="rId109" Type="http://schemas.openxmlformats.org/officeDocument/2006/relationships/hyperlink" Target="https://rmu.ac.bd" TargetMode="External"/><Relationship Id="rId108" Type="http://schemas.openxmlformats.org/officeDocument/2006/relationships/hyperlink" Target="https://dgme.teletalk.com.bd" TargetMode="External"/><Relationship Id="rId229" Type="http://schemas.openxmlformats.org/officeDocument/2006/relationships/hyperlink" Target="http://nmi.gov.bd" TargetMode="External"/><Relationship Id="rId220" Type="http://schemas.openxmlformats.org/officeDocument/2006/relationships/hyperlink" Target="https://admission.bsmrmu.edu.bd" TargetMode="External"/><Relationship Id="rId341" Type="http://schemas.openxmlformats.org/officeDocument/2006/relationships/hyperlink" Target="https://dgnm.gov.bd" TargetMode="External"/><Relationship Id="rId340" Type="http://schemas.openxmlformats.org/officeDocument/2006/relationships/hyperlink" Target="http://bnmc.teletalk.com.bd" TargetMode="External"/><Relationship Id="rId103" Type="http://schemas.openxmlformats.org/officeDocument/2006/relationships/hyperlink" Target="https://smc.gov.bd" TargetMode="External"/><Relationship Id="rId224" Type="http://schemas.openxmlformats.org/officeDocument/2006/relationships/hyperlink" Target="http://aaub.teletalk.com.bd" TargetMode="External"/><Relationship Id="rId345" Type="http://schemas.openxmlformats.org/officeDocument/2006/relationships/hyperlink" Target="https://dgnm.gov.bd" TargetMode="External"/><Relationship Id="rId102" Type="http://schemas.openxmlformats.org/officeDocument/2006/relationships/hyperlink" Target="https://dgme.teletalk.com.bd" TargetMode="External"/><Relationship Id="rId223" Type="http://schemas.openxmlformats.org/officeDocument/2006/relationships/hyperlink" Target="https://aaub.edu.bd" TargetMode="External"/><Relationship Id="rId344" Type="http://schemas.openxmlformats.org/officeDocument/2006/relationships/hyperlink" Target="http://bnmc.teletalk.com.bd" TargetMode="External"/><Relationship Id="rId101" Type="http://schemas.openxmlformats.org/officeDocument/2006/relationships/hyperlink" Target="https://smmamc.gov.bd" TargetMode="External"/><Relationship Id="rId222" Type="http://schemas.openxmlformats.org/officeDocument/2006/relationships/hyperlink" Target="http://bori.gov.bd" TargetMode="External"/><Relationship Id="rId343" Type="http://schemas.openxmlformats.org/officeDocument/2006/relationships/hyperlink" Target="https://dgnm.gov.bd" TargetMode="External"/><Relationship Id="rId100" Type="http://schemas.openxmlformats.org/officeDocument/2006/relationships/hyperlink" Target="https://dgme.teletalk.com.bd" TargetMode="External"/><Relationship Id="rId221" Type="http://schemas.openxmlformats.org/officeDocument/2006/relationships/hyperlink" Target="http://bori.gov.bd" TargetMode="External"/><Relationship Id="rId342" Type="http://schemas.openxmlformats.org/officeDocument/2006/relationships/hyperlink" Target="http://bnmc.teletalk.com.bd" TargetMode="External"/><Relationship Id="rId217" Type="http://schemas.openxmlformats.org/officeDocument/2006/relationships/hyperlink" Target="http://www.bbggc.gov.bd" TargetMode="External"/><Relationship Id="rId338" Type="http://schemas.openxmlformats.org/officeDocument/2006/relationships/hyperlink" Target="http://bnmc.teletalk.com.bd" TargetMode="External"/><Relationship Id="rId216" Type="http://schemas.openxmlformats.org/officeDocument/2006/relationships/hyperlink" Target="http://collegeadmission.eis.du.ac.bd" TargetMode="External"/><Relationship Id="rId337" Type="http://schemas.openxmlformats.org/officeDocument/2006/relationships/hyperlink" Target="https://dgnm.gov.bd" TargetMode="External"/><Relationship Id="rId215" Type="http://schemas.openxmlformats.org/officeDocument/2006/relationships/hyperlink" Target="http://www.gbc.edu.bd" TargetMode="External"/><Relationship Id="rId336" Type="http://schemas.openxmlformats.org/officeDocument/2006/relationships/hyperlink" Target="http://bnmc.teletalk.com.bd" TargetMode="External"/><Relationship Id="rId214" Type="http://schemas.openxmlformats.org/officeDocument/2006/relationships/hyperlink" Target="http://collegeadmission.eis.du.ac.bd" TargetMode="External"/><Relationship Id="rId335" Type="http://schemas.openxmlformats.org/officeDocument/2006/relationships/hyperlink" Target="https://dgnm.gov.bd" TargetMode="External"/><Relationship Id="rId219" Type="http://schemas.openxmlformats.org/officeDocument/2006/relationships/hyperlink" Target="https://bsmrmu.edu.bd" TargetMode="External"/><Relationship Id="rId218" Type="http://schemas.openxmlformats.org/officeDocument/2006/relationships/hyperlink" Target="http://collegeadmission.eis.du.ac.bd" TargetMode="External"/><Relationship Id="rId339" Type="http://schemas.openxmlformats.org/officeDocument/2006/relationships/hyperlink" Target="https://dgnm.gov.bd" TargetMode="External"/><Relationship Id="rId330" Type="http://schemas.openxmlformats.org/officeDocument/2006/relationships/hyperlink" Target="http://bnmc.teletalk.com.bd" TargetMode="External"/><Relationship Id="rId213" Type="http://schemas.openxmlformats.org/officeDocument/2006/relationships/hyperlink" Target="http://www.gssc.gov.bd" TargetMode="External"/><Relationship Id="rId334" Type="http://schemas.openxmlformats.org/officeDocument/2006/relationships/hyperlink" Target="http://bnmc.teletalk.com.bd" TargetMode="External"/><Relationship Id="rId212" Type="http://schemas.openxmlformats.org/officeDocument/2006/relationships/hyperlink" Target="http://collegeadmission.eis.du.ac.bd" TargetMode="External"/><Relationship Id="rId333" Type="http://schemas.openxmlformats.org/officeDocument/2006/relationships/hyperlink" Target="https://dgnm.gov.bd" TargetMode="External"/><Relationship Id="rId211" Type="http://schemas.openxmlformats.org/officeDocument/2006/relationships/hyperlink" Target="http://www.titumircollege.gov.bd" TargetMode="External"/><Relationship Id="rId332" Type="http://schemas.openxmlformats.org/officeDocument/2006/relationships/hyperlink" Target="http://bnmc.teletalk.com.bd" TargetMode="External"/><Relationship Id="rId210" Type="http://schemas.openxmlformats.org/officeDocument/2006/relationships/hyperlink" Target="http://collegeadmission.eis.du.ac.bd" TargetMode="External"/><Relationship Id="rId331" Type="http://schemas.openxmlformats.org/officeDocument/2006/relationships/hyperlink" Target="https://dgnm.gov.bd" TargetMode="External"/><Relationship Id="rId370" Type="http://schemas.openxmlformats.org/officeDocument/2006/relationships/hyperlink" Target="http://bnmc.teletalk.com.bd" TargetMode="External"/><Relationship Id="rId129" Type="http://schemas.openxmlformats.org/officeDocument/2006/relationships/hyperlink" Target="https://magosmanimedical.com" TargetMode="External"/><Relationship Id="rId128" Type="http://schemas.openxmlformats.org/officeDocument/2006/relationships/hyperlink" Target="https://dgme.teletalk.com.bd" TargetMode="External"/><Relationship Id="rId249" Type="http://schemas.openxmlformats.org/officeDocument/2006/relationships/hyperlink" Target="http://tecn.noakhali.gov.bd/" TargetMode="External"/><Relationship Id="rId127" Type="http://schemas.openxmlformats.org/officeDocument/2006/relationships/hyperlink" Target="https://mamc.gov.bd" TargetMode="External"/><Relationship Id="rId248" Type="http://schemas.openxmlformats.org/officeDocument/2006/relationships/hyperlink" Target="http://admission.ru.ac.bd" TargetMode="External"/><Relationship Id="rId369" Type="http://schemas.openxmlformats.org/officeDocument/2006/relationships/hyperlink" Target="https://dgnm.gov.bd" TargetMode="External"/><Relationship Id="rId126" Type="http://schemas.openxmlformats.org/officeDocument/2006/relationships/hyperlink" Target="https://dgme.teletalk.com.bd" TargetMode="External"/><Relationship Id="rId247" Type="http://schemas.openxmlformats.org/officeDocument/2006/relationships/hyperlink" Target="http://pec.ac.bd" TargetMode="External"/><Relationship Id="rId368" Type="http://schemas.openxmlformats.org/officeDocument/2006/relationships/hyperlink" Target="http://bnmc.teletalk.com.bd" TargetMode="External"/><Relationship Id="rId121" Type="http://schemas.openxmlformats.org/officeDocument/2006/relationships/hyperlink" Target="https://namc.gov.bd" TargetMode="External"/><Relationship Id="rId242" Type="http://schemas.openxmlformats.org/officeDocument/2006/relationships/hyperlink" Target="http://admission.ru.ac.bd" TargetMode="External"/><Relationship Id="rId363" Type="http://schemas.openxmlformats.org/officeDocument/2006/relationships/hyperlink" Target="https://dgnm.gov.bd" TargetMode="External"/><Relationship Id="rId120" Type="http://schemas.openxmlformats.org/officeDocument/2006/relationships/hyperlink" Target="https://dgme.teletalk.com.bd" TargetMode="External"/><Relationship Id="rId241" Type="http://schemas.openxmlformats.org/officeDocument/2006/relationships/hyperlink" Target="http://rec.ac.bd" TargetMode="External"/><Relationship Id="rId362" Type="http://schemas.openxmlformats.org/officeDocument/2006/relationships/hyperlink" Target="http://bnmc.teletalk.com.bd" TargetMode="External"/><Relationship Id="rId240" Type="http://schemas.openxmlformats.org/officeDocument/2006/relationships/hyperlink" Target="http://dot.gov.bd" TargetMode="External"/><Relationship Id="rId361" Type="http://schemas.openxmlformats.org/officeDocument/2006/relationships/hyperlink" Target="https://dgnm.gov.bd" TargetMode="External"/><Relationship Id="rId360" Type="http://schemas.openxmlformats.org/officeDocument/2006/relationships/hyperlink" Target="http://bnmc.teletalk.com.bd" TargetMode="External"/><Relationship Id="rId125" Type="http://schemas.openxmlformats.org/officeDocument/2006/relationships/hyperlink" Target="https://mumc.gov.bd" TargetMode="External"/><Relationship Id="rId246" Type="http://schemas.openxmlformats.org/officeDocument/2006/relationships/hyperlink" Target="http://dot.gov.bd" TargetMode="External"/><Relationship Id="rId367" Type="http://schemas.openxmlformats.org/officeDocument/2006/relationships/hyperlink" Target="https://dgnm.gov.bd" TargetMode="External"/><Relationship Id="rId124" Type="http://schemas.openxmlformats.org/officeDocument/2006/relationships/hyperlink" Target="https://dgme.teletalk.com.bd" TargetMode="External"/><Relationship Id="rId245" Type="http://schemas.openxmlformats.org/officeDocument/2006/relationships/hyperlink" Target="http://ptec.pabna.gov.bd/" TargetMode="External"/><Relationship Id="rId366" Type="http://schemas.openxmlformats.org/officeDocument/2006/relationships/hyperlink" Target="http://bnmc.teletalk.com.bd" TargetMode="External"/><Relationship Id="rId123" Type="http://schemas.openxmlformats.org/officeDocument/2006/relationships/hyperlink" Target="https://mmc.gov.bd" TargetMode="External"/><Relationship Id="rId244" Type="http://schemas.openxmlformats.org/officeDocument/2006/relationships/hyperlink" Target="http://admission.ru.ac.bd" TargetMode="External"/><Relationship Id="rId365" Type="http://schemas.openxmlformats.org/officeDocument/2006/relationships/hyperlink" Target="https://dgnm.gov.bd" TargetMode="External"/><Relationship Id="rId122" Type="http://schemas.openxmlformats.org/officeDocument/2006/relationships/hyperlink" Target="https://dgme.teletalk.com.bd" TargetMode="External"/><Relationship Id="rId243" Type="http://schemas.openxmlformats.org/officeDocument/2006/relationships/hyperlink" Target="http://ribs.ac.bd" TargetMode="External"/><Relationship Id="rId364" Type="http://schemas.openxmlformats.org/officeDocument/2006/relationships/hyperlink" Target="http://bnmc.teletalk.com.bd" TargetMode="External"/><Relationship Id="rId95" Type="http://schemas.openxmlformats.org/officeDocument/2006/relationships/hyperlink" Target="https://stamc.gov.bd" TargetMode="External"/><Relationship Id="rId94" Type="http://schemas.openxmlformats.org/officeDocument/2006/relationships/hyperlink" Target="https://dgme.teletalk.com.bd" TargetMode="External"/><Relationship Id="rId97" Type="http://schemas.openxmlformats.org/officeDocument/2006/relationships/hyperlink" Target="https://ssnimc.gov.bd" TargetMode="External"/><Relationship Id="rId96" Type="http://schemas.openxmlformats.org/officeDocument/2006/relationships/hyperlink" Target="https://dgme.teletalk.com.bd" TargetMode="External"/><Relationship Id="rId99" Type="http://schemas.openxmlformats.org/officeDocument/2006/relationships/hyperlink" Target="https://shsmc.gov.bd" TargetMode="External"/><Relationship Id="rId98" Type="http://schemas.openxmlformats.org/officeDocument/2006/relationships/hyperlink" Target="https://dgme.teletalk.com.bd" TargetMode="External"/><Relationship Id="rId91" Type="http://schemas.openxmlformats.org/officeDocument/2006/relationships/hyperlink" Target="https://shmch.gov.bd" TargetMode="External"/><Relationship Id="rId90" Type="http://schemas.openxmlformats.org/officeDocument/2006/relationships/hyperlink" Target="https://dgme.teletalk.com.bd" TargetMode="External"/><Relationship Id="rId93" Type="http://schemas.openxmlformats.org/officeDocument/2006/relationships/hyperlink" Target="https://szmc.gov.bd" TargetMode="External"/><Relationship Id="rId92" Type="http://schemas.openxmlformats.org/officeDocument/2006/relationships/hyperlink" Target="https://dgme.teletalk.com.bd" TargetMode="External"/><Relationship Id="rId118" Type="http://schemas.openxmlformats.org/officeDocument/2006/relationships/hyperlink" Target="https://dgme.teletalk.com.bd" TargetMode="External"/><Relationship Id="rId239" Type="http://schemas.openxmlformats.org/officeDocument/2006/relationships/hyperlink" Target="http://rtec.rangpur.gov.bd/" TargetMode="External"/><Relationship Id="rId117" Type="http://schemas.openxmlformats.org/officeDocument/2006/relationships/hyperlink" Target="https://nimc.gov.bd" TargetMode="External"/><Relationship Id="rId238" Type="http://schemas.openxmlformats.org/officeDocument/2006/relationships/hyperlink" Target="http://dot.teletalk.com.bd" TargetMode="External"/><Relationship Id="rId359" Type="http://schemas.openxmlformats.org/officeDocument/2006/relationships/hyperlink" Target="https://dgnm.gov.bd" TargetMode="External"/><Relationship Id="rId116" Type="http://schemas.openxmlformats.org/officeDocument/2006/relationships/hyperlink" Target="https://dgme.teletalk.com.bd" TargetMode="External"/><Relationship Id="rId237" Type="http://schemas.openxmlformats.org/officeDocument/2006/relationships/hyperlink" Target="http://sarstec.ac.bd/" TargetMode="External"/><Relationship Id="rId358" Type="http://schemas.openxmlformats.org/officeDocument/2006/relationships/hyperlink" Target="http://bnmc.teletalk.com.bd" TargetMode="External"/><Relationship Id="rId115" Type="http://schemas.openxmlformats.org/officeDocument/2006/relationships/hyperlink" Target="https://pmc.gov.bd" TargetMode="External"/><Relationship Id="rId236" Type="http://schemas.openxmlformats.org/officeDocument/2006/relationships/hyperlink" Target="http://dot.teletalk.com.bd" TargetMode="External"/><Relationship Id="rId357" Type="http://schemas.openxmlformats.org/officeDocument/2006/relationships/hyperlink" Target="https://dgnm.gov.bd" TargetMode="External"/><Relationship Id="rId119" Type="http://schemas.openxmlformats.org/officeDocument/2006/relationships/hyperlink" Target="https://nemc.gov.bd" TargetMode="External"/><Relationship Id="rId110" Type="http://schemas.openxmlformats.org/officeDocument/2006/relationships/hyperlink" Target="https://dgme.gov.bd" TargetMode="External"/><Relationship Id="rId231" Type="http://schemas.openxmlformats.org/officeDocument/2006/relationships/hyperlink" Target="http://smu.edu.bd" TargetMode="External"/><Relationship Id="rId352" Type="http://schemas.openxmlformats.org/officeDocument/2006/relationships/hyperlink" Target="http://bnmc.teletalk.com.bd" TargetMode="External"/><Relationship Id="rId230" Type="http://schemas.openxmlformats.org/officeDocument/2006/relationships/hyperlink" Target="http://nmi.gov.bd" TargetMode="External"/><Relationship Id="rId351" Type="http://schemas.openxmlformats.org/officeDocument/2006/relationships/hyperlink" Target="https://dgnm.gov.bd" TargetMode="External"/><Relationship Id="rId350" Type="http://schemas.openxmlformats.org/officeDocument/2006/relationships/hyperlink" Target="http://bnmc.teletalk.com.bd" TargetMode="External"/><Relationship Id="rId114" Type="http://schemas.openxmlformats.org/officeDocument/2006/relationships/hyperlink" Target="https://dgme.teletalk.com.bd" TargetMode="External"/><Relationship Id="rId235" Type="http://schemas.openxmlformats.org/officeDocument/2006/relationships/hyperlink" Target="http://sktec.gov.bd/" TargetMode="External"/><Relationship Id="rId356" Type="http://schemas.openxmlformats.org/officeDocument/2006/relationships/hyperlink" Target="http://bnmc.teletalk.com.bd" TargetMode="External"/><Relationship Id="rId113" Type="http://schemas.openxmlformats.org/officeDocument/2006/relationships/hyperlink" Target="https://pkmc.gov.bd" TargetMode="External"/><Relationship Id="rId234" Type="http://schemas.openxmlformats.org/officeDocument/2006/relationships/hyperlink" Target="http://dot.teletalk.com.bd" TargetMode="External"/><Relationship Id="rId355" Type="http://schemas.openxmlformats.org/officeDocument/2006/relationships/hyperlink" Target="https://dgnm.gov.bd" TargetMode="External"/><Relationship Id="rId112" Type="http://schemas.openxmlformats.org/officeDocument/2006/relationships/hyperlink" Target="https://dgme.teletalk.com.bd" TargetMode="External"/><Relationship Id="rId233" Type="http://schemas.openxmlformats.org/officeDocument/2006/relationships/hyperlink" Target="http://srtec.gov.bd/" TargetMode="External"/><Relationship Id="rId354" Type="http://schemas.openxmlformats.org/officeDocument/2006/relationships/hyperlink" Target="http://bnmc.teletalk.com.bd" TargetMode="External"/><Relationship Id="rId111" Type="http://schemas.openxmlformats.org/officeDocument/2006/relationships/hyperlink" Target="https://rmc.gov.bd" TargetMode="External"/><Relationship Id="rId232" Type="http://schemas.openxmlformats.org/officeDocument/2006/relationships/hyperlink" Target="http://smu.edu.bd" TargetMode="External"/><Relationship Id="rId353" Type="http://schemas.openxmlformats.org/officeDocument/2006/relationships/hyperlink" Target="https://dgnm.gov.bd" TargetMode="External"/><Relationship Id="rId305" Type="http://schemas.openxmlformats.org/officeDocument/2006/relationships/hyperlink" Target="https://dgnm.gov.bd" TargetMode="External"/><Relationship Id="rId304" Type="http://schemas.openxmlformats.org/officeDocument/2006/relationships/hyperlink" Target="http://bnmc.teletalk.com.bd" TargetMode="External"/><Relationship Id="rId303" Type="http://schemas.openxmlformats.org/officeDocument/2006/relationships/hyperlink" Target="https://dgnm.gov.bd" TargetMode="External"/><Relationship Id="rId302" Type="http://schemas.openxmlformats.org/officeDocument/2006/relationships/hyperlink" Target="http://bnmc.teletalk.com.bd" TargetMode="External"/><Relationship Id="rId309" Type="http://schemas.openxmlformats.org/officeDocument/2006/relationships/hyperlink" Target="https://dgnm.gov.bd" TargetMode="External"/><Relationship Id="rId308" Type="http://schemas.openxmlformats.org/officeDocument/2006/relationships/hyperlink" Target="http://bnmc.teletalk.com.bd" TargetMode="External"/><Relationship Id="rId307" Type="http://schemas.openxmlformats.org/officeDocument/2006/relationships/hyperlink" Target="https://dgnm.gov.bd" TargetMode="External"/><Relationship Id="rId306" Type="http://schemas.openxmlformats.org/officeDocument/2006/relationships/hyperlink" Target="http://bnmc.teletalk.com.bd" TargetMode="External"/><Relationship Id="rId301" Type="http://schemas.openxmlformats.org/officeDocument/2006/relationships/hyperlink" Target="https://dgnm.gov.bd" TargetMode="External"/><Relationship Id="rId300" Type="http://schemas.openxmlformats.org/officeDocument/2006/relationships/hyperlink" Target="http://bnmc.teletalk.com.bd" TargetMode="External"/><Relationship Id="rId413" Type="http://schemas.openxmlformats.org/officeDocument/2006/relationships/table" Target="../tables/table5.xml"/><Relationship Id="rId412" Type="http://schemas.openxmlformats.org/officeDocument/2006/relationships/table" Target="../tables/table4.xml"/><Relationship Id="rId411" Type="http://schemas.openxmlformats.org/officeDocument/2006/relationships/table" Target="../tables/table3.xml"/><Relationship Id="rId410" Type="http://schemas.openxmlformats.org/officeDocument/2006/relationships/table" Target="../tables/table2.xml"/><Relationship Id="rId206" Type="http://schemas.openxmlformats.org/officeDocument/2006/relationships/hyperlink" Target="http://collegeadmission.eis.du.ac.bd" TargetMode="External"/><Relationship Id="rId327" Type="http://schemas.openxmlformats.org/officeDocument/2006/relationships/hyperlink" Target="https://dgnm.gov.bd" TargetMode="External"/><Relationship Id="rId205" Type="http://schemas.openxmlformats.org/officeDocument/2006/relationships/hyperlink" Target="http://www.dhakacollege.edu.bd" TargetMode="External"/><Relationship Id="rId326" Type="http://schemas.openxmlformats.org/officeDocument/2006/relationships/hyperlink" Target="http://bnmc.teletalk.com.bd" TargetMode="External"/><Relationship Id="rId204" Type="http://schemas.openxmlformats.org/officeDocument/2006/relationships/hyperlink" Target="http://afmc.teletalk.com.bd" TargetMode="External"/><Relationship Id="rId325" Type="http://schemas.openxmlformats.org/officeDocument/2006/relationships/hyperlink" Target="https://dgnm.gov.bd" TargetMode="External"/><Relationship Id="rId203" Type="http://schemas.openxmlformats.org/officeDocument/2006/relationships/hyperlink" Target="https://afmc.edu.bd" TargetMode="External"/><Relationship Id="rId324" Type="http://schemas.openxmlformats.org/officeDocument/2006/relationships/hyperlink" Target="http://bnmc.teletalk.com.bd" TargetMode="External"/><Relationship Id="rId209" Type="http://schemas.openxmlformats.org/officeDocument/2006/relationships/hyperlink" Target="http://www.kngc.edu.bd" TargetMode="External"/><Relationship Id="rId208" Type="http://schemas.openxmlformats.org/officeDocument/2006/relationships/hyperlink" Target="http://collegeadmission.eis.du.ac.bd" TargetMode="External"/><Relationship Id="rId329" Type="http://schemas.openxmlformats.org/officeDocument/2006/relationships/hyperlink" Target="https://dgnm.gov.bd" TargetMode="External"/><Relationship Id="rId207" Type="http://schemas.openxmlformats.org/officeDocument/2006/relationships/hyperlink" Target="http://www.emc.edu.bd" TargetMode="External"/><Relationship Id="rId328" Type="http://schemas.openxmlformats.org/officeDocument/2006/relationships/hyperlink" Target="http://bnmc.teletalk.com.bd" TargetMode="External"/><Relationship Id="rId202" Type="http://schemas.openxmlformats.org/officeDocument/2006/relationships/hyperlink" Target="http://afmc.teletalk.com.bd" TargetMode="External"/><Relationship Id="rId323" Type="http://schemas.openxmlformats.org/officeDocument/2006/relationships/hyperlink" Target="https://dgnm.gov.bd" TargetMode="External"/><Relationship Id="rId201" Type="http://schemas.openxmlformats.org/officeDocument/2006/relationships/hyperlink" Target="https://amcb.edu.bd" TargetMode="External"/><Relationship Id="rId322" Type="http://schemas.openxmlformats.org/officeDocument/2006/relationships/hyperlink" Target="http://bnmc.teletalk.com.bd" TargetMode="External"/><Relationship Id="rId200" Type="http://schemas.openxmlformats.org/officeDocument/2006/relationships/hyperlink" Target="http://afmc.teletalk.com.bd/" TargetMode="External"/><Relationship Id="rId321" Type="http://schemas.openxmlformats.org/officeDocument/2006/relationships/hyperlink" Target="https://dgnm.gov.bd" TargetMode="External"/><Relationship Id="rId320" Type="http://schemas.openxmlformats.org/officeDocument/2006/relationships/hyperlink" Target="http://bnmc.teletalk.com.bd" TargetMode="External"/><Relationship Id="rId316" Type="http://schemas.openxmlformats.org/officeDocument/2006/relationships/hyperlink" Target="http://bnmc.teletalk.com.bd" TargetMode="External"/><Relationship Id="rId315" Type="http://schemas.openxmlformats.org/officeDocument/2006/relationships/hyperlink" Target="https://dgnm.gov.bd" TargetMode="External"/><Relationship Id="rId314" Type="http://schemas.openxmlformats.org/officeDocument/2006/relationships/hyperlink" Target="http://bnmc.teletalk.com.bd" TargetMode="External"/><Relationship Id="rId313" Type="http://schemas.openxmlformats.org/officeDocument/2006/relationships/hyperlink" Target="https://dgnm.gov.bd" TargetMode="External"/><Relationship Id="rId319" Type="http://schemas.openxmlformats.org/officeDocument/2006/relationships/hyperlink" Target="https://dgnm.gov.bd" TargetMode="External"/><Relationship Id="rId318" Type="http://schemas.openxmlformats.org/officeDocument/2006/relationships/hyperlink" Target="http://bnmc.teletalk.com.bd" TargetMode="External"/><Relationship Id="rId317" Type="http://schemas.openxmlformats.org/officeDocument/2006/relationships/hyperlink" Target="https://dgnm.gov.bd" TargetMode="External"/><Relationship Id="rId312" Type="http://schemas.openxmlformats.org/officeDocument/2006/relationships/hyperlink" Target="http://bnmc.teletalk.com.bd" TargetMode="External"/><Relationship Id="rId311" Type="http://schemas.openxmlformats.org/officeDocument/2006/relationships/hyperlink" Target="https://dgnm.gov.bd" TargetMode="External"/><Relationship Id="rId310" Type="http://schemas.openxmlformats.org/officeDocument/2006/relationships/hyperlink" Target="http://bnmc.teletalk.com.bd"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0" width="29.63"/>
    <col customWidth="1" min="11" max="14" width="12.13"/>
    <col customWidth="1" min="15" max="26" width="29.63"/>
  </cols>
  <sheetData>
    <row r="1" ht="27.0" customHeight="1">
      <c r="A1" s="1" t="s">
        <v>0</v>
      </c>
      <c r="B1" s="1" t="s">
        <v>1</v>
      </c>
      <c r="C1" s="2" t="s">
        <v>2</v>
      </c>
      <c r="D1" s="1" t="s">
        <v>3</v>
      </c>
      <c r="E1" s="1" t="s">
        <v>4</v>
      </c>
      <c r="F1" s="1" t="s">
        <v>5</v>
      </c>
      <c r="G1" s="1" t="s">
        <v>6</v>
      </c>
      <c r="H1" s="1" t="s">
        <v>7</v>
      </c>
      <c r="I1" s="1" t="s">
        <v>8</v>
      </c>
      <c r="J1" s="1" t="s">
        <v>9</v>
      </c>
      <c r="K1" s="1" t="s">
        <v>10</v>
      </c>
      <c r="L1" s="1" t="s">
        <v>11</v>
      </c>
      <c r="M1" s="1" t="s">
        <v>12</v>
      </c>
      <c r="N1" s="1" t="s">
        <v>13</v>
      </c>
      <c r="O1" s="3" t="s">
        <v>14</v>
      </c>
      <c r="P1" s="1"/>
      <c r="Q1" s="1"/>
      <c r="R1" s="1"/>
      <c r="S1" s="1"/>
      <c r="T1" s="1"/>
      <c r="U1" s="1"/>
      <c r="V1" s="1"/>
      <c r="W1" s="1"/>
      <c r="X1" s="1"/>
      <c r="Y1" s="1"/>
      <c r="Z1" s="1"/>
    </row>
    <row r="2" ht="27.0" customHeight="1">
      <c r="A2" s="1" t="s">
        <v>15</v>
      </c>
      <c r="B2" s="1" t="s">
        <v>16</v>
      </c>
      <c r="C2" s="4" t="s">
        <v>17</v>
      </c>
      <c r="D2" s="1">
        <f>+8801734790892</f>
        <v>8801734790892</v>
      </c>
      <c r="E2" s="1" t="s">
        <v>18</v>
      </c>
      <c r="F2" s="1">
        <v>1992.0</v>
      </c>
      <c r="G2" s="1" t="s">
        <v>19</v>
      </c>
      <c r="H2" s="1" t="s">
        <v>20</v>
      </c>
      <c r="I2" s="5" t="s">
        <v>21</v>
      </c>
      <c r="J2" s="5" t="s">
        <v>22</v>
      </c>
      <c r="K2" s="6" t="s">
        <v>23</v>
      </c>
      <c r="L2" s="1" t="s">
        <v>24</v>
      </c>
      <c r="M2" s="1" t="s">
        <v>25</v>
      </c>
      <c r="N2" s="1" t="s">
        <v>24</v>
      </c>
      <c r="O2" s="3" t="s">
        <v>26</v>
      </c>
      <c r="P2" s="1"/>
      <c r="Q2" s="1"/>
      <c r="R2" s="1"/>
      <c r="S2" s="1"/>
      <c r="T2" s="1"/>
      <c r="U2" s="1"/>
      <c r="V2" s="1"/>
      <c r="W2" s="1"/>
      <c r="X2" s="1"/>
      <c r="Y2" s="1"/>
      <c r="Z2" s="1"/>
    </row>
    <row r="3" ht="27.0" customHeight="1">
      <c r="A3" s="1" t="s">
        <v>15</v>
      </c>
      <c r="B3" s="1" t="s">
        <v>27</v>
      </c>
      <c r="C3" s="4" t="s">
        <v>28</v>
      </c>
      <c r="D3" s="1">
        <f>+8809666911463</f>
        <v>8809666911463</v>
      </c>
      <c r="E3" s="1" t="s">
        <v>29</v>
      </c>
      <c r="F3" s="1">
        <v>1921.0</v>
      </c>
      <c r="G3" s="1" t="s">
        <v>30</v>
      </c>
      <c r="H3" s="1" t="s">
        <v>31</v>
      </c>
      <c r="I3" s="5" t="s">
        <v>32</v>
      </c>
      <c r="J3" s="5" t="s">
        <v>33</v>
      </c>
      <c r="K3" s="1">
        <v>6085.0</v>
      </c>
      <c r="L3" s="1">
        <v>1851.0</v>
      </c>
      <c r="M3" s="1">
        <v>3064.0</v>
      </c>
      <c r="N3" s="1">
        <v>1170.0</v>
      </c>
      <c r="O3" s="3" t="s">
        <v>26</v>
      </c>
      <c r="P3" s="1"/>
      <c r="Q3" s="1"/>
      <c r="R3" s="1"/>
      <c r="S3" s="1"/>
      <c r="T3" s="1"/>
      <c r="U3" s="1"/>
      <c r="V3" s="1"/>
      <c r="W3" s="1"/>
      <c r="X3" s="1"/>
      <c r="Y3" s="1"/>
      <c r="Z3" s="1"/>
    </row>
    <row r="4" ht="27.0" customHeight="1">
      <c r="A4" s="1" t="s">
        <v>15</v>
      </c>
      <c r="B4" s="1" t="s">
        <v>34</v>
      </c>
      <c r="C4" s="4" t="s">
        <v>35</v>
      </c>
      <c r="D4" s="1">
        <f>+8801772563303</f>
        <v>8801772563303</v>
      </c>
      <c r="E4" s="1" t="s">
        <v>36</v>
      </c>
      <c r="F4" s="1">
        <v>1966.0</v>
      </c>
      <c r="G4" s="1" t="s">
        <v>37</v>
      </c>
      <c r="H4" s="1" t="s">
        <v>38</v>
      </c>
      <c r="I4" s="5" t="s">
        <v>39</v>
      </c>
      <c r="J4" s="5" t="s">
        <v>33</v>
      </c>
      <c r="K4" s="1">
        <v>120.0</v>
      </c>
      <c r="L4" s="1" t="s">
        <v>40</v>
      </c>
      <c r="M4" s="1" t="s">
        <v>40</v>
      </c>
      <c r="N4" s="1">
        <v>120.0</v>
      </c>
      <c r="O4" s="3" t="s">
        <v>26</v>
      </c>
      <c r="P4" s="1"/>
      <c r="Q4" s="1"/>
      <c r="R4" s="1"/>
      <c r="S4" s="1"/>
      <c r="T4" s="1"/>
      <c r="U4" s="1"/>
      <c r="V4" s="1"/>
      <c r="W4" s="1"/>
      <c r="X4" s="1"/>
      <c r="Y4" s="1"/>
      <c r="Z4" s="1"/>
    </row>
    <row r="5" ht="27.0" customHeight="1">
      <c r="A5" s="1" t="s">
        <v>15</v>
      </c>
      <c r="B5" s="1" t="s">
        <v>41</v>
      </c>
      <c r="C5" s="4" t="s">
        <v>42</v>
      </c>
      <c r="D5" s="1">
        <f>+8801703899973</f>
        <v>8801703899973</v>
      </c>
      <c r="E5" s="1" t="s">
        <v>43</v>
      </c>
      <c r="F5" s="1">
        <v>1953.0</v>
      </c>
      <c r="G5" s="1" t="s">
        <v>44</v>
      </c>
      <c r="H5" s="1" t="s">
        <v>45</v>
      </c>
      <c r="I5" s="5" t="s">
        <v>46</v>
      </c>
      <c r="J5" s="5" t="s">
        <v>47</v>
      </c>
      <c r="K5" s="1">
        <v>3681.0</v>
      </c>
      <c r="L5" s="1">
        <v>1250.0</v>
      </c>
      <c r="M5" s="1">
        <v>1872.0</v>
      </c>
      <c r="N5" s="1">
        <v>559.0</v>
      </c>
      <c r="O5" s="3" t="s">
        <v>26</v>
      </c>
      <c r="P5" s="1"/>
      <c r="Q5" s="1"/>
      <c r="R5" s="1"/>
      <c r="S5" s="1"/>
      <c r="T5" s="1"/>
      <c r="U5" s="1"/>
      <c r="V5" s="1"/>
      <c r="W5" s="1"/>
      <c r="X5" s="1"/>
      <c r="Y5" s="1"/>
      <c r="Z5" s="1"/>
    </row>
    <row r="6" ht="27.0" customHeight="1">
      <c r="A6" s="1" t="s">
        <v>15</v>
      </c>
      <c r="B6" s="1" t="s">
        <v>48</v>
      </c>
      <c r="C6" s="4" t="s">
        <v>49</v>
      </c>
      <c r="D6" s="1">
        <f>+8801555555140</f>
        <v>8801555555140</v>
      </c>
      <c r="E6" s="1" t="s">
        <v>50</v>
      </c>
      <c r="F6" s="1">
        <v>1966.0</v>
      </c>
      <c r="G6" s="1" t="s">
        <v>51</v>
      </c>
      <c r="H6" s="1" t="s">
        <v>52</v>
      </c>
      <c r="I6" s="5" t="s">
        <v>53</v>
      </c>
      <c r="J6" s="5" t="s">
        <v>54</v>
      </c>
      <c r="K6" s="1">
        <v>4926.0</v>
      </c>
      <c r="L6" s="1">
        <v>1221.0</v>
      </c>
      <c r="M6" s="1">
        <v>2239.0</v>
      </c>
      <c r="N6" s="1">
        <v>441.0</v>
      </c>
      <c r="O6" s="3" t="s">
        <v>26</v>
      </c>
      <c r="P6" s="1"/>
      <c r="Q6" s="1"/>
      <c r="R6" s="1"/>
      <c r="S6" s="1"/>
      <c r="T6" s="1"/>
      <c r="U6" s="1"/>
      <c r="V6" s="1"/>
      <c r="W6" s="1"/>
      <c r="X6" s="1"/>
      <c r="Y6" s="1"/>
      <c r="Z6" s="1"/>
    </row>
    <row r="7" ht="27.0" customHeight="1">
      <c r="A7" s="1" t="s">
        <v>15</v>
      </c>
      <c r="B7" s="7" t="s">
        <v>55</v>
      </c>
      <c r="C7" s="4" t="s">
        <v>56</v>
      </c>
      <c r="D7" s="7">
        <f>+88041720171</f>
        <v>88041720171</v>
      </c>
      <c r="E7" s="7" t="s">
        <v>57</v>
      </c>
      <c r="F7" s="7">
        <v>1991.0</v>
      </c>
      <c r="G7" s="7" t="s">
        <v>58</v>
      </c>
      <c r="H7" s="7" t="s">
        <v>59</v>
      </c>
      <c r="I7" s="8" t="s">
        <v>60</v>
      </c>
      <c r="J7" s="8" t="s">
        <v>61</v>
      </c>
      <c r="K7" s="7">
        <v>1109.0</v>
      </c>
      <c r="L7" s="7">
        <v>437.0</v>
      </c>
      <c r="M7" s="7">
        <v>452.0</v>
      </c>
      <c r="N7" s="7">
        <v>220.0</v>
      </c>
      <c r="O7" s="3" t="s">
        <v>26</v>
      </c>
      <c r="P7" s="1"/>
      <c r="Q7" s="1"/>
      <c r="R7" s="1"/>
      <c r="S7" s="1"/>
      <c r="T7" s="1"/>
      <c r="U7" s="1"/>
      <c r="V7" s="1"/>
      <c r="W7" s="1"/>
      <c r="X7" s="1"/>
      <c r="Y7" s="1"/>
      <c r="Z7" s="1"/>
    </row>
    <row r="8" ht="27.0" customHeight="1">
      <c r="A8" s="1" t="s">
        <v>15</v>
      </c>
      <c r="B8" s="1" t="s">
        <v>62</v>
      </c>
      <c r="C8" s="4" t="s">
        <v>63</v>
      </c>
      <c r="D8" s="1">
        <f>+8802224491045</f>
        <v>8802224491045</v>
      </c>
      <c r="E8" s="1" t="s">
        <v>64</v>
      </c>
      <c r="F8" s="1">
        <v>1970.0</v>
      </c>
      <c r="G8" s="1" t="s">
        <v>65</v>
      </c>
      <c r="H8" s="1" t="s">
        <v>66</v>
      </c>
      <c r="I8" s="5" t="s">
        <v>67</v>
      </c>
      <c r="J8" s="5" t="s">
        <v>68</v>
      </c>
      <c r="K8" s="1">
        <v>1844.0</v>
      </c>
      <c r="L8" s="1">
        <v>410.0</v>
      </c>
      <c r="M8" s="1">
        <v>1004.0</v>
      </c>
      <c r="N8" s="1">
        <v>430.0</v>
      </c>
      <c r="O8" s="3" t="s">
        <v>26</v>
      </c>
      <c r="P8" s="1"/>
      <c r="Q8" s="1"/>
      <c r="R8" s="1"/>
      <c r="S8" s="1"/>
      <c r="T8" s="1"/>
      <c r="U8" s="1"/>
      <c r="V8" s="1"/>
      <c r="W8" s="1"/>
      <c r="X8" s="1"/>
      <c r="Y8" s="1"/>
      <c r="Z8" s="1"/>
    </row>
    <row r="9" ht="27.0" customHeight="1">
      <c r="A9" s="1" t="s">
        <v>15</v>
      </c>
      <c r="B9" s="1" t="s">
        <v>69</v>
      </c>
      <c r="C9" s="4" t="s">
        <v>70</v>
      </c>
      <c r="D9" s="1">
        <f>+88029534255</f>
        <v>88029534255</v>
      </c>
      <c r="E9" s="1" t="s">
        <v>71</v>
      </c>
      <c r="F9" s="1">
        <v>2005.0</v>
      </c>
      <c r="G9" s="1" t="s">
        <v>72</v>
      </c>
      <c r="H9" s="1" t="s">
        <v>73</v>
      </c>
      <c r="I9" s="5" t="s">
        <v>74</v>
      </c>
      <c r="J9" s="5" t="s">
        <v>75</v>
      </c>
      <c r="K9" s="1">
        <v>2765.0</v>
      </c>
      <c r="L9" s="1">
        <v>825.0</v>
      </c>
      <c r="M9" s="1">
        <v>1270.0</v>
      </c>
      <c r="N9" s="1">
        <v>670.0</v>
      </c>
      <c r="O9" s="3" t="s">
        <v>26</v>
      </c>
      <c r="P9" s="1"/>
      <c r="Q9" s="1"/>
      <c r="R9" s="1"/>
      <c r="S9" s="1"/>
      <c r="T9" s="1"/>
      <c r="U9" s="1"/>
      <c r="V9" s="1"/>
      <c r="W9" s="1"/>
      <c r="X9" s="1"/>
      <c r="Y9" s="1"/>
      <c r="Z9" s="1"/>
    </row>
    <row r="10" ht="27.0" customHeight="1">
      <c r="A10" s="9" t="s">
        <v>76</v>
      </c>
      <c r="B10" s="7" t="s">
        <v>77</v>
      </c>
      <c r="C10" s="4" t="s">
        <v>78</v>
      </c>
      <c r="D10" s="7">
        <f>+880255167100</f>
        <v>880255167100</v>
      </c>
      <c r="E10" s="7" t="s">
        <v>79</v>
      </c>
      <c r="F10" s="7">
        <v>1962.0</v>
      </c>
      <c r="G10" s="7" t="s">
        <v>80</v>
      </c>
      <c r="H10" s="7" t="s">
        <v>81</v>
      </c>
      <c r="I10" s="8" t="s">
        <v>82</v>
      </c>
      <c r="J10" s="8" t="s">
        <v>83</v>
      </c>
      <c r="K10" s="7">
        <v>1060.0</v>
      </c>
      <c r="L10" s="7">
        <v>1060.0</v>
      </c>
      <c r="M10" s="7" t="s">
        <v>40</v>
      </c>
      <c r="N10" s="7" t="s">
        <v>40</v>
      </c>
      <c r="O10" s="10" t="s">
        <v>84</v>
      </c>
      <c r="P10" s="1"/>
      <c r="Q10" s="1"/>
      <c r="R10" s="1"/>
      <c r="S10" s="1"/>
      <c r="T10" s="1"/>
      <c r="U10" s="1"/>
      <c r="V10" s="1"/>
      <c r="W10" s="1"/>
      <c r="X10" s="1"/>
      <c r="Y10" s="1"/>
      <c r="Z10" s="1"/>
    </row>
    <row r="11" ht="27.0" customHeight="1">
      <c r="A11" s="9" t="s">
        <v>76</v>
      </c>
      <c r="B11" s="7" t="s">
        <v>85</v>
      </c>
      <c r="C11" s="4" t="s">
        <v>86</v>
      </c>
      <c r="D11" s="7">
        <f>+8801784528080</f>
        <v>8801784528080</v>
      </c>
      <c r="E11" s="7" t="s">
        <v>87</v>
      </c>
      <c r="F11" s="7">
        <v>1964.0</v>
      </c>
      <c r="G11" s="7" t="s">
        <v>88</v>
      </c>
      <c r="H11" s="7" t="s">
        <v>89</v>
      </c>
      <c r="I11" s="8" t="s">
        <v>90</v>
      </c>
      <c r="J11" s="8" t="s">
        <v>91</v>
      </c>
      <c r="K11" s="7">
        <v>1235.0</v>
      </c>
      <c r="L11" s="7">
        <v>1235.0</v>
      </c>
      <c r="M11" s="7" t="s">
        <v>40</v>
      </c>
      <c r="N11" s="7" t="s">
        <v>40</v>
      </c>
      <c r="O11" s="10" t="s">
        <v>84</v>
      </c>
      <c r="P11" s="1"/>
      <c r="Q11" s="1"/>
      <c r="R11" s="1"/>
      <c r="S11" s="1"/>
      <c r="T11" s="1"/>
      <c r="U11" s="1"/>
      <c r="V11" s="1"/>
      <c r="W11" s="1"/>
      <c r="X11" s="1"/>
      <c r="Y11" s="1"/>
      <c r="Z11" s="1"/>
    </row>
    <row r="12" ht="27.0" customHeight="1">
      <c r="A12" s="9" t="s">
        <v>76</v>
      </c>
      <c r="B12" s="7" t="s">
        <v>92</v>
      </c>
      <c r="C12" s="4" t="s">
        <v>93</v>
      </c>
      <c r="D12" s="7">
        <f>+8802477732971</f>
        <v>8802477732971</v>
      </c>
      <c r="E12" s="7" t="s">
        <v>94</v>
      </c>
      <c r="F12" s="7">
        <v>1967.0</v>
      </c>
      <c r="G12" s="7" t="s">
        <v>95</v>
      </c>
      <c r="H12" s="7" t="s">
        <v>96</v>
      </c>
      <c r="I12" s="8" t="s">
        <v>97</v>
      </c>
      <c r="J12" s="8" t="s">
        <v>98</v>
      </c>
      <c r="K12" s="7">
        <v>1065.0</v>
      </c>
      <c r="L12" s="7">
        <v>1065.0</v>
      </c>
      <c r="M12" s="7" t="s">
        <v>40</v>
      </c>
      <c r="N12" s="7" t="s">
        <v>40</v>
      </c>
      <c r="O12" s="10" t="s">
        <v>84</v>
      </c>
      <c r="P12" s="1"/>
      <c r="Q12" s="1"/>
      <c r="R12" s="1"/>
      <c r="S12" s="1"/>
      <c r="T12" s="1"/>
      <c r="U12" s="1"/>
      <c r="V12" s="1"/>
      <c r="W12" s="1"/>
      <c r="X12" s="1"/>
      <c r="Y12" s="1"/>
      <c r="Z12" s="1"/>
    </row>
    <row r="13" ht="27.0" customHeight="1">
      <c r="A13" s="9" t="s">
        <v>76</v>
      </c>
      <c r="B13" s="7" t="s">
        <v>99</v>
      </c>
      <c r="C13" s="4" t="s">
        <v>100</v>
      </c>
      <c r="D13" s="7">
        <f>+88031714911</f>
        <v>88031714911</v>
      </c>
      <c r="E13" s="7" t="s">
        <v>101</v>
      </c>
      <c r="F13" s="7">
        <v>1968.0</v>
      </c>
      <c r="G13" s="7" t="s">
        <v>102</v>
      </c>
      <c r="H13" s="7" t="s">
        <v>103</v>
      </c>
      <c r="I13" s="8" t="s">
        <v>104</v>
      </c>
      <c r="J13" s="8" t="s">
        <v>105</v>
      </c>
      <c r="K13" s="7">
        <v>931.0</v>
      </c>
      <c r="L13" s="7">
        <v>931.0</v>
      </c>
      <c r="M13" s="7" t="s">
        <v>40</v>
      </c>
      <c r="N13" s="7" t="s">
        <v>40</v>
      </c>
      <c r="O13" s="10" t="s">
        <v>84</v>
      </c>
      <c r="P13" s="1"/>
      <c r="Q13" s="1"/>
      <c r="R13" s="1"/>
      <c r="S13" s="1"/>
      <c r="T13" s="1"/>
      <c r="U13" s="1"/>
      <c r="V13" s="1"/>
      <c r="W13" s="1"/>
      <c r="X13" s="1"/>
      <c r="Y13" s="1"/>
      <c r="Z13" s="1"/>
    </row>
    <row r="14" ht="27.0" customHeight="1">
      <c r="A14" s="9" t="s">
        <v>76</v>
      </c>
      <c r="B14" s="7" t="s">
        <v>106</v>
      </c>
      <c r="C14" s="4" t="s">
        <v>107</v>
      </c>
      <c r="D14" s="7">
        <f>+8801555555002</f>
        <v>8801555555002</v>
      </c>
      <c r="E14" s="7" t="s">
        <v>108</v>
      </c>
      <c r="F14" s="7">
        <v>1986.0</v>
      </c>
      <c r="G14" s="7" t="s">
        <v>109</v>
      </c>
      <c r="H14" s="7" t="s">
        <v>110</v>
      </c>
      <c r="I14" s="8" t="s">
        <v>111</v>
      </c>
      <c r="J14" s="8" t="s">
        <v>112</v>
      </c>
      <c r="K14" s="7">
        <v>1566.0</v>
      </c>
      <c r="L14" s="7">
        <v>985.0</v>
      </c>
      <c r="M14" s="7">
        <v>506.0</v>
      </c>
      <c r="N14" s="7">
        <v>75.0</v>
      </c>
      <c r="O14" s="10" t="s">
        <v>84</v>
      </c>
      <c r="P14" s="1"/>
      <c r="Q14" s="1"/>
      <c r="R14" s="1"/>
      <c r="S14" s="1"/>
      <c r="T14" s="1"/>
      <c r="U14" s="1"/>
      <c r="V14" s="1"/>
      <c r="W14" s="1"/>
      <c r="X14" s="1"/>
      <c r="Y14" s="1"/>
      <c r="Z14" s="1"/>
    </row>
    <row r="15" ht="27.0" customHeight="1">
      <c r="A15" s="9" t="s">
        <v>76</v>
      </c>
      <c r="B15" s="9" t="s">
        <v>113</v>
      </c>
      <c r="C15" s="4" t="s">
        <v>114</v>
      </c>
      <c r="D15" s="9" t="s">
        <v>115</v>
      </c>
      <c r="E15" s="9" t="s">
        <v>116</v>
      </c>
      <c r="F15" s="9">
        <v>1980.0</v>
      </c>
      <c r="G15" s="9" t="s">
        <v>117</v>
      </c>
      <c r="H15" s="9" t="s">
        <v>118</v>
      </c>
      <c r="I15" s="11" t="s">
        <v>119</v>
      </c>
      <c r="J15" s="11" t="s">
        <v>120</v>
      </c>
      <c r="K15" s="9">
        <v>850.0</v>
      </c>
      <c r="L15" s="9">
        <v>850.0</v>
      </c>
      <c r="M15" s="9" t="s">
        <v>40</v>
      </c>
      <c r="N15" s="9" t="s">
        <v>40</v>
      </c>
      <c r="O15" s="3" t="s">
        <v>84</v>
      </c>
      <c r="P15" s="3"/>
      <c r="Q15" s="3"/>
      <c r="R15" s="3"/>
      <c r="S15" s="3"/>
      <c r="T15" s="3"/>
      <c r="U15" s="3"/>
      <c r="V15" s="3"/>
      <c r="W15" s="3"/>
      <c r="X15" s="3"/>
      <c r="Y15" s="3"/>
      <c r="Z15" s="3"/>
    </row>
    <row r="16" ht="27.0" customHeight="1">
      <c r="A16" s="9" t="s">
        <v>76</v>
      </c>
      <c r="B16" s="9" t="s">
        <v>121</v>
      </c>
      <c r="C16" s="4" t="s">
        <v>122</v>
      </c>
      <c r="D16" s="9">
        <f>+88029291254</f>
        <v>88029291254</v>
      </c>
      <c r="E16" s="9" t="s">
        <v>123</v>
      </c>
      <c r="F16" s="9">
        <v>1981.0</v>
      </c>
      <c r="G16" s="9" t="s">
        <v>124</v>
      </c>
      <c r="H16" s="9" t="s">
        <v>125</v>
      </c>
      <c r="I16" s="11" t="s">
        <v>126</v>
      </c>
      <c r="J16" s="11" t="s">
        <v>127</v>
      </c>
      <c r="K16" s="9">
        <v>600.0</v>
      </c>
      <c r="L16" s="9">
        <v>550.0</v>
      </c>
      <c r="M16" s="9" t="s">
        <v>40</v>
      </c>
      <c r="N16" s="9">
        <v>50.0</v>
      </c>
      <c r="O16" s="10" t="s">
        <v>84</v>
      </c>
      <c r="P16" s="3"/>
      <c r="Q16" s="3"/>
      <c r="R16" s="3"/>
      <c r="S16" s="3"/>
      <c r="T16" s="3"/>
      <c r="U16" s="3"/>
      <c r="V16" s="3"/>
      <c r="W16" s="3"/>
      <c r="X16" s="3"/>
      <c r="Y16" s="3"/>
      <c r="Z16" s="3"/>
    </row>
    <row r="17" ht="27.0" customHeight="1">
      <c r="A17" s="9" t="s">
        <v>76</v>
      </c>
      <c r="B17" s="1" t="s">
        <v>128</v>
      </c>
      <c r="C17" s="4" t="s">
        <v>129</v>
      </c>
      <c r="D17" s="1">
        <f>+88053161355</f>
        <v>88053161355</v>
      </c>
      <c r="E17" s="1" t="s">
        <v>130</v>
      </c>
      <c r="F17" s="1">
        <v>1999.0</v>
      </c>
      <c r="G17" s="1" t="s">
        <v>131</v>
      </c>
      <c r="H17" s="1" t="s">
        <v>132</v>
      </c>
      <c r="I17" s="5" t="s">
        <v>133</v>
      </c>
      <c r="J17" s="5" t="s">
        <v>134</v>
      </c>
      <c r="K17" s="1">
        <v>1795.0</v>
      </c>
      <c r="L17" s="1">
        <v>1275.0</v>
      </c>
      <c r="M17" s="1">
        <v>240.0</v>
      </c>
      <c r="N17" s="1">
        <v>280.0</v>
      </c>
      <c r="O17" s="3" t="s">
        <v>84</v>
      </c>
      <c r="P17" s="1"/>
      <c r="Q17" s="1"/>
      <c r="R17" s="1"/>
      <c r="S17" s="1"/>
      <c r="T17" s="1"/>
      <c r="U17" s="1"/>
      <c r="V17" s="1"/>
      <c r="W17" s="1"/>
      <c r="X17" s="1"/>
      <c r="Y17" s="1"/>
      <c r="Z17" s="1"/>
    </row>
    <row r="18" ht="27.0" customHeight="1">
      <c r="A18" s="1" t="s">
        <v>135</v>
      </c>
      <c r="B18" s="1" t="s">
        <v>136</v>
      </c>
      <c r="C18" s="4" t="s">
        <v>137</v>
      </c>
      <c r="D18" s="1">
        <f>+8807174904</f>
        <v>8807174904</v>
      </c>
      <c r="E18" s="1" t="s">
        <v>138</v>
      </c>
      <c r="F18" s="1">
        <v>1979.0</v>
      </c>
      <c r="G18" s="1" t="s">
        <v>139</v>
      </c>
      <c r="H18" s="1" t="s">
        <v>140</v>
      </c>
      <c r="I18" s="5" t="s">
        <v>141</v>
      </c>
      <c r="J18" s="5" t="s">
        <v>142</v>
      </c>
      <c r="K18" s="1">
        <v>1990.0</v>
      </c>
      <c r="L18" s="1">
        <v>550.0</v>
      </c>
      <c r="M18" s="1">
        <v>981.0</v>
      </c>
      <c r="N18" s="1">
        <v>459.0</v>
      </c>
      <c r="O18" s="3" t="s">
        <v>143</v>
      </c>
      <c r="P18" s="1"/>
      <c r="Q18" s="1"/>
      <c r="R18" s="1"/>
      <c r="S18" s="1"/>
      <c r="T18" s="1"/>
      <c r="U18" s="1"/>
      <c r="V18" s="1"/>
      <c r="W18" s="1"/>
      <c r="X18" s="1"/>
      <c r="Y18" s="1"/>
      <c r="Z18" s="1"/>
    </row>
    <row r="19" ht="27.0" customHeight="1">
      <c r="A19" s="1" t="s">
        <v>135</v>
      </c>
      <c r="B19" s="1" t="s">
        <v>144</v>
      </c>
      <c r="C19" s="4" t="s">
        <v>145</v>
      </c>
      <c r="D19" s="1">
        <f>+8809666775534</f>
        <v>8809666775534</v>
      </c>
      <c r="E19" s="1" t="s">
        <v>146</v>
      </c>
      <c r="F19" s="1">
        <v>2016.0</v>
      </c>
      <c r="G19" s="1" t="s">
        <v>147</v>
      </c>
      <c r="H19" s="1" t="s">
        <v>148</v>
      </c>
      <c r="I19" s="5" t="s">
        <v>149</v>
      </c>
      <c r="J19" s="5" t="s">
        <v>150</v>
      </c>
      <c r="K19" s="1">
        <v>140.0</v>
      </c>
      <c r="L19" s="1">
        <v>140.0</v>
      </c>
      <c r="M19" s="1">
        <v>0.0</v>
      </c>
      <c r="N19" s="1">
        <v>0.0</v>
      </c>
      <c r="O19" s="3" t="s">
        <v>143</v>
      </c>
      <c r="P19" s="1"/>
      <c r="Q19" s="1"/>
      <c r="R19" s="1"/>
      <c r="S19" s="1"/>
      <c r="T19" s="1"/>
      <c r="U19" s="1"/>
      <c r="V19" s="1"/>
      <c r="W19" s="1"/>
      <c r="X19" s="1"/>
      <c r="Y19" s="1"/>
      <c r="Z19" s="1"/>
    </row>
    <row r="20" ht="27.0" customHeight="1">
      <c r="A20" s="1" t="s">
        <v>135</v>
      </c>
      <c r="B20" s="1" t="s">
        <v>151</v>
      </c>
      <c r="C20" s="4" t="s">
        <v>152</v>
      </c>
      <c r="D20" s="1">
        <f>+8804312177771</f>
        <v>8804312177771</v>
      </c>
      <c r="E20" s="1" t="s">
        <v>153</v>
      </c>
      <c r="F20" s="1">
        <v>2011.0</v>
      </c>
      <c r="G20" s="1" t="s">
        <v>154</v>
      </c>
      <c r="H20" s="1" t="s">
        <v>155</v>
      </c>
      <c r="I20" s="5" t="s">
        <v>156</v>
      </c>
      <c r="J20" s="5" t="s">
        <v>157</v>
      </c>
      <c r="K20" s="1">
        <v>1490.0</v>
      </c>
      <c r="L20" s="1">
        <v>730.0</v>
      </c>
      <c r="M20" s="1">
        <v>450.0</v>
      </c>
      <c r="N20" s="1">
        <v>310.0</v>
      </c>
      <c r="O20" s="3" t="s">
        <v>143</v>
      </c>
      <c r="P20" s="1"/>
      <c r="Q20" s="1"/>
      <c r="R20" s="1"/>
      <c r="S20" s="1"/>
      <c r="T20" s="1"/>
      <c r="U20" s="1"/>
      <c r="V20" s="1"/>
      <c r="W20" s="1"/>
      <c r="X20" s="1"/>
      <c r="Y20" s="1"/>
      <c r="Z20" s="1"/>
    </row>
    <row r="21" ht="27.0" customHeight="1">
      <c r="A21" s="1" t="s">
        <v>135</v>
      </c>
      <c r="B21" s="1" t="s">
        <v>158</v>
      </c>
      <c r="C21" s="4" t="s">
        <v>159</v>
      </c>
      <c r="D21" s="1">
        <f>+8802588833525</f>
        <v>8802588833525</v>
      </c>
      <c r="E21" s="1" t="s">
        <v>160</v>
      </c>
      <c r="F21" s="1">
        <v>2017.0</v>
      </c>
      <c r="G21" s="1" t="s">
        <v>161</v>
      </c>
      <c r="H21" s="1" t="s">
        <v>162</v>
      </c>
      <c r="I21" s="5" t="s">
        <v>163</v>
      </c>
      <c r="J21" s="5" t="s">
        <v>164</v>
      </c>
      <c r="K21" s="1">
        <v>225.0</v>
      </c>
      <c r="L21" s="1">
        <v>65.0</v>
      </c>
      <c r="M21" s="1">
        <v>110.0</v>
      </c>
      <c r="N21" s="1">
        <v>50.0</v>
      </c>
      <c r="O21" s="3" t="s">
        <v>143</v>
      </c>
      <c r="P21" s="1"/>
      <c r="Q21" s="1"/>
      <c r="R21" s="1"/>
      <c r="S21" s="1"/>
      <c r="T21" s="1"/>
      <c r="U21" s="1"/>
      <c r="V21" s="1"/>
      <c r="W21" s="1"/>
      <c r="X21" s="1"/>
      <c r="Y21" s="1"/>
      <c r="Z21" s="1"/>
    </row>
    <row r="22" ht="27.0" customHeight="1">
      <c r="A22" s="1" t="s">
        <v>135</v>
      </c>
      <c r="B22" s="1" t="s">
        <v>165</v>
      </c>
      <c r="C22" s="4" t="s">
        <v>166</v>
      </c>
      <c r="D22" s="1">
        <f>+8802997735008</f>
        <v>8802997735008</v>
      </c>
      <c r="E22" s="1" t="s">
        <v>167</v>
      </c>
      <c r="F22" s="1">
        <v>2018.0</v>
      </c>
      <c r="G22" s="1" t="s">
        <v>168</v>
      </c>
      <c r="H22" s="1" t="s">
        <v>169</v>
      </c>
      <c r="I22" s="5" t="s">
        <v>170</v>
      </c>
      <c r="J22" s="5" t="s">
        <v>171</v>
      </c>
      <c r="K22" s="1">
        <v>290.0</v>
      </c>
      <c r="L22" s="1">
        <v>95.0</v>
      </c>
      <c r="M22" s="1">
        <v>155.0</v>
      </c>
      <c r="N22" s="1">
        <v>40.0</v>
      </c>
      <c r="O22" s="3" t="s">
        <v>143</v>
      </c>
      <c r="P22" s="1"/>
      <c r="Q22" s="1"/>
      <c r="R22" s="1"/>
      <c r="S22" s="1"/>
      <c r="T22" s="1"/>
      <c r="U22" s="1"/>
      <c r="V22" s="1"/>
      <c r="W22" s="1"/>
      <c r="X22" s="1"/>
      <c r="Y22" s="1"/>
      <c r="Z22" s="1"/>
    </row>
    <row r="23" ht="27.0" customHeight="1">
      <c r="A23" s="1" t="s">
        <v>135</v>
      </c>
      <c r="B23" s="1" t="s">
        <v>172</v>
      </c>
      <c r="C23" s="4" t="s">
        <v>173</v>
      </c>
      <c r="D23" s="1">
        <f>+8801712884977</f>
        <v>8801712884977</v>
      </c>
      <c r="E23" s="1" t="s">
        <v>174</v>
      </c>
      <c r="F23" s="1">
        <v>2023.0</v>
      </c>
      <c r="G23" s="1" t="s">
        <v>175</v>
      </c>
      <c r="H23" s="1" t="s">
        <v>176</v>
      </c>
      <c r="I23" s="5" t="s">
        <v>177</v>
      </c>
      <c r="J23" s="5" t="s">
        <v>142</v>
      </c>
      <c r="K23" s="1">
        <v>80.0</v>
      </c>
      <c r="L23" s="1">
        <v>28.0</v>
      </c>
      <c r="M23" s="1">
        <v>28.0</v>
      </c>
      <c r="N23" s="1">
        <v>24.0</v>
      </c>
      <c r="O23" s="3" t="s">
        <v>143</v>
      </c>
      <c r="P23" s="1"/>
      <c r="Q23" s="1"/>
      <c r="R23" s="1"/>
      <c r="S23" s="1"/>
      <c r="T23" s="1"/>
      <c r="U23" s="1"/>
      <c r="V23" s="1"/>
      <c r="W23" s="1"/>
      <c r="X23" s="1"/>
      <c r="Y23" s="1"/>
      <c r="Z23" s="1"/>
    </row>
    <row r="24" ht="27.0" customHeight="1">
      <c r="A24" s="1" t="s">
        <v>135</v>
      </c>
      <c r="B24" s="1" t="s">
        <v>178</v>
      </c>
      <c r="C24" s="4" t="s">
        <v>179</v>
      </c>
      <c r="D24" s="1">
        <f>+8802998832221</f>
        <v>8802998832221</v>
      </c>
      <c r="E24" s="1" t="s">
        <v>180</v>
      </c>
      <c r="F24" s="1">
        <v>2020.0</v>
      </c>
      <c r="G24" s="1" t="s">
        <v>181</v>
      </c>
      <c r="H24" s="1" t="s">
        <v>182</v>
      </c>
      <c r="I24" s="5" t="s">
        <v>183</v>
      </c>
      <c r="J24" s="5" t="s">
        <v>184</v>
      </c>
      <c r="K24" s="1">
        <v>120.0</v>
      </c>
      <c r="L24" s="1">
        <v>60.0</v>
      </c>
      <c r="M24" s="1">
        <v>30.0</v>
      </c>
      <c r="N24" s="1">
        <v>30.0</v>
      </c>
      <c r="O24" s="3" t="s">
        <v>143</v>
      </c>
      <c r="P24" s="1"/>
      <c r="Q24" s="1"/>
      <c r="R24" s="1"/>
      <c r="S24" s="1"/>
      <c r="T24" s="1"/>
      <c r="U24" s="1"/>
      <c r="V24" s="1"/>
      <c r="W24" s="1"/>
      <c r="X24" s="1"/>
      <c r="Y24" s="1"/>
      <c r="Z24" s="1"/>
    </row>
    <row r="25" ht="27.0" customHeight="1">
      <c r="A25" s="1" t="s">
        <v>135</v>
      </c>
      <c r="B25" s="1" t="s">
        <v>185</v>
      </c>
      <c r="C25" s="4" t="s">
        <v>186</v>
      </c>
      <c r="D25" s="1">
        <f>+8809666911463</f>
        <v>8809666911463</v>
      </c>
      <c r="E25" s="1" t="s">
        <v>187</v>
      </c>
      <c r="F25" s="1">
        <v>2006.0</v>
      </c>
      <c r="G25" s="1" t="s">
        <v>188</v>
      </c>
      <c r="H25" s="1" t="s">
        <v>189</v>
      </c>
      <c r="I25" s="5" t="s">
        <v>190</v>
      </c>
      <c r="J25" s="5" t="s">
        <v>142</v>
      </c>
      <c r="K25" s="1">
        <v>1085.0</v>
      </c>
      <c r="L25" s="1">
        <v>240.0</v>
      </c>
      <c r="M25" s="1">
        <v>635.0</v>
      </c>
      <c r="N25" s="1">
        <v>210.0</v>
      </c>
      <c r="O25" s="3" t="s">
        <v>143</v>
      </c>
      <c r="P25" s="1"/>
      <c r="Q25" s="1"/>
      <c r="R25" s="1"/>
      <c r="S25" s="1"/>
      <c r="T25" s="1"/>
      <c r="U25" s="1"/>
      <c r="V25" s="1"/>
      <c r="W25" s="1"/>
      <c r="X25" s="1"/>
      <c r="Y25" s="1"/>
      <c r="Z25" s="1"/>
    </row>
    <row r="26" ht="27.0" customHeight="1">
      <c r="A26" s="1" t="s">
        <v>135</v>
      </c>
      <c r="B26" s="1" t="s">
        <v>191</v>
      </c>
      <c r="C26" s="4" t="s">
        <v>192</v>
      </c>
      <c r="D26" s="1">
        <f>+8802223377503</f>
        <v>8802223377503</v>
      </c>
      <c r="E26" s="1" t="s">
        <v>193</v>
      </c>
      <c r="F26" s="1">
        <v>2017.0</v>
      </c>
      <c r="G26" s="1" t="s">
        <v>194</v>
      </c>
      <c r="H26" s="1" t="s">
        <v>195</v>
      </c>
      <c r="I26" s="5" t="s">
        <v>196</v>
      </c>
      <c r="J26" s="5" t="s">
        <v>142</v>
      </c>
      <c r="K26" s="1">
        <v>250.0</v>
      </c>
      <c r="L26" s="1">
        <v>188.0</v>
      </c>
      <c r="M26" s="1">
        <v>31.0</v>
      </c>
      <c r="N26" s="1">
        <v>31.0</v>
      </c>
      <c r="O26" s="3" t="s">
        <v>143</v>
      </c>
      <c r="P26" s="1"/>
      <c r="Q26" s="1"/>
      <c r="R26" s="1"/>
      <c r="S26" s="1"/>
      <c r="T26" s="1"/>
      <c r="U26" s="1"/>
      <c r="V26" s="1"/>
      <c r="W26" s="1"/>
      <c r="X26" s="1"/>
      <c r="Y26" s="1"/>
      <c r="Z26" s="1"/>
    </row>
    <row r="27" ht="27.0" customHeight="1">
      <c r="A27" s="1" t="s">
        <v>135</v>
      </c>
      <c r="B27" s="1" t="s">
        <v>197</v>
      </c>
      <c r="C27" s="4" t="s">
        <v>198</v>
      </c>
      <c r="D27" s="1">
        <f>+88026682257</f>
        <v>88026682257</v>
      </c>
      <c r="E27" s="1" t="s">
        <v>199</v>
      </c>
      <c r="F27" s="1">
        <v>2011.0</v>
      </c>
      <c r="G27" s="1" t="s">
        <v>200</v>
      </c>
      <c r="H27" s="1" t="s">
        <v>201</v>
      </c>
      <c r="I27" s="5" t="s">
        <v>202</v>
      </c>
      <c r="J27" s="5" t="s">
        <v>203</v>
      </c>
      <c r="K27" s="1">
        <v>1505.0</v>
      </c>
      <c r="L27" s="1">
        <v>800.0</v>
      </c>
      <c r="M27" s="1">
        <v>445.0</v>
      </c>
      <c r="N27" s="1">
        <v>260.0</v>
      </c>
      <c r="O27" s="3" t="s">
        <v>143</v>
      </c>
      <c r="P27" s="1"/>
      <c r="Q27" s="1"/>
      <c r="R27" s="1"/>
      <c r="S27" s="1"/>
      <c r="T27" s="1"/>
      <c r="U27" s="1"/>
      <c r="V27" s="1"/>
      <c r="W27" s="1"/>
      <c r="X27" s="1"/>
      <c r="Y27" s="1"/>
      <c r="Z27" s="1"/>
    </row>
    <row r="28" ht="27.0" customHeight="1">
      <c r="A28" s="1" t="s">
        <v>135</v>
      </c>
      <c r="B28" s="1" t="s">
        <v>204</v>
      </c>
      <c r="C28" s="4" t="s">
        <v>205</v>
      </c>
      <c r="D28" s="1">
        <f>+880241090771</f>
        <v>880241090771</v>
      </c>
      <c r="E28" s="1" t="s">
        <v>206</v>
      </c>
      <c r="F28" s="1">
        <v>2020.0</v>
      </c>
      <c r="G28" s="1" t="s">
        <v>207</v>
      </c>
      <c r="H28" s="1" t="s">
        <v>208</v>
      </c>
      <c r="I28" s="5" t="s">
        <v>209</v>
      </c>
      <c r="J28" s="12" t="s">
        <v>210</v>
      </c>
      <c r="K28" s="1">
        <v>90.0</v>
      </c>
      <c r="L28" s="1">
        <v>60.0</v>
      </c>
      <c r="M28" s="1">
        <v>0.0</v>
      </c>
      <c r="N28" s="1">
        <v>30.0</v>
      </c>
      <c r="O28" s="3" t="s">
        <v>143</v>
      </c>
      <c r="P28" s="1"/>
      <c r="Q28" s="1"/>
      <c r="R28" s="1"/>
      <c r="S28" s="1"/>
      <c r="T28" s="1"/>
      <c r="U28" s="1"/>
      <c r="V28" s="1"/>
      <c r="W28" s="1"/>
      <c r="X28" s="1"/>
      <c r="Y28" s="1"/>
      <c r="Z28" s="1"/>
    </row>
    <row r="29" ht="27.0" customHeight="1">
      <c r="A29" s="1" t="s">
        <v>135</v>
      </c>
      <c r="B29" s="1" t="s">
        <v>211</v>
      </c>
      <c r="C29" s="4" t="s">
        <v>212</v>
      </c>
      <c r="D29" s="1">
        <f>+8801313013211</f>
        <v>8801313013211</v>
      </c>
      <c r="E29" s="1" t="s">
        <v>213</v>
      </c>
      <c r="F29" s="1">
        <v>2008.0</v>
      </c>
      <c r="G29" s="1" t="s">
        <v>214</v>
      </c>
      <c r="H29" s="1" t="s">
        <v>215</v>
      </c>
      <c r="I29" s="5" t="s">
        <v>216</v>
      </c>
      <c r="J29" s="5" t="s">
        <v>217</v>
      </c>
      <c r="K29" s="1">
        <v>1395.0</v>
      </c>
      <c r="L29" s="1">
        <v>722.0</v>
      </c>
      <c r="M29" s="1">
        <v>398.0</v>
      </c>
      <c r="N29" s="1">
        <v>275.0</v>
      </c>
      <c r="O29" s="3" t="s">
        <v>143</v>
      </c>
      <c r="P29" s="1"/>
      <c r="Q29" s="1"/>
      <c r="R29" s="1"/>
      <c r="S29" s="1"/>
      <c r="T29" s="1"/>
      <c r="U29" s="1"/>
      <c r="V29" s="1"/>
      <c r="W29" s="1"/>
      <c r="X29" s="1"/>
      <c r="Y29" s="1"/>
      <c r="Z29" s="1"/>
    </row>
    <row r="30" ht="27.0" customHeight="1">
      <c r="A30" s="1" t="s">
        <v>135</v>
      </c>
      <c r="B30" s="9" t="s">
        <v>218</v>
      </c>
      <c r="C30" s="4" t="s">
        <v>219</v>
      </c>
      <c r="D30" s="9">
        <v>8.802224433551E12</v>
      </c>
      <c r="E30" s="9" t="s">
        <v>18</v>
      </c>
      <c r="F30" s="9">
        <v>2024.0</v>
      </c>
      <c r="G30" s="9" t="s">
        <v>220</v>
      </c>
      <c r="H30" s="9" t="s">
        <v>221</v>
      </c>
      <c r="I30" s="11" t="s">
        <v>222</v>
      </c>
      <c r="J30" s="11" t="s">
        <v>142</v>
      </c>
      <c r="K30" s="9">
        <v>50.0</v>
      </c>
      <c r="L30" s="9">
        <v>30.0</v>
      </c>
      <c r="M30" s="9">
        <v>20.0</v>
      </c>
      <c r="N30" s="9" t="s">
        <v>40</v>
      </c>
      <c r="O30" s="3" t="s">
        <v>143</v>
      </c>
      <c r="P30" s="3"/>
      <c r="Q30" s="3"/>
      <c r="R30" s="3"/>
      <c r="S30" s="3"/>
      <c r="T30" s="3"/>
      <c r="U30" s="3"/>
      <c r="V30" s="3"/>
      <c r="W30" s="3"/>
      <c r="X30" s="3"/>
      <c r="Y30" s="3"/>
      <c r="Z30" s="3"/>
    </row>
    <row r="31" ht="27.0" customHeight="1">
      <c r="A31" s="1" t="s">
        <v>135</v>
      </c>
      <c r="B31" s="9" t="s">
        <v>223</v>
      </c>
      <c r="C31" s="4" t="s">
        <v>224</v>
      </c>
      <c r="D31" s="9">
        <f>+8801944827828</f>
        <v>8801944827828</v>
      </c>
      <c r="E31" s="9" t="s">
        <v>225</v>
      </c>
      <c r="F31" s="9">
        <v>2023.0</v>
      </c>
      <c r="G31" s="9" t="s">
        <v>226</v>
      </c>
      <c r="H31" s="9" t="s">
        <v>227</v>
      </c>
      <c r="I31" s="11" t="s">
        <v>228</v>
      </c>
      <c r="J31" s="11" t="s">
        <v>142</v>
      </c>
      <c r="K31" s="9" t="s">
        <v>40</v>
      </c>
      <c r="L31" s="9" t="s">
        <v>40</v>
      </c>
      <c r="M31" s="9" t="s">
        <v>40</v>
      </c>
      <c r="N31" s="9" t="s">
        <v>40</v>
      </c>
      <c r="O31" s="3" t="s">
        <v>143</v>
      </c>
      <c r="P31" s="3"/>
      <c r="Q31" s="3"/>
      <c r="R31" s="3"/>
      <c r="S31" s="3"/>
      <c r="T31" s="3"/>
      <c r="U31" s="3"/>
      <c r="V31" s="3"/>
      <c r="W31" s="3"/>
      <c r="X31" s="3"/>
      <c r="Y31" s="3"/>
      <c r="Z31" s="3"/>
    </row>
    <row r="32" ht="27.0" customHeight="1">
      <c r="A32" s="1" t="s">
        <v>229</v>
      </c>
      <c r="B32" s="1" t="s">
        <v>230</v>
      </c>
      <c r="C32" s="4" t="s">
        <v>231</v>
      </c>
      <c r="D32" s="1">
        <f>+88092155399</f>
        <v>88092155399</v>
      </c>
      <c r="E32" s="1" t="s">
        <v>232</v>
      </c>
      <c r="F32" s="1">
        <v>2001.0</v>
      </c>
      <c r="G32" s="1" t="s">
        <v>233</v>
      </c>
      <c r="H32" s="1" t="s">
        <v>234</v>
      </c>
      <c r="I32" s="5" t="s">
        <v>235</v>
      </c>
      <c r="J32" s="5" t="s">
        <v>236</v>
      </c>
      <c r="K32" s="1">
        <v>815.0</v>
      </c>
      <c r="L32" s="1">
        <v>684.0</v>
      </c>
      <c r="M32" s="1">
        <v>60.0</v>
      </c>
      <c r="N32" s="1">
        <v>71.0</v>
      </c>
      <c r="O32" s="3" t="s">
        <v>237</v>
      </c>
      <c r="P32" s="1"/>
      <c r="Q32" s="1"/>
      <c r="R32" s="1"/>
      <c r="S32" s="1"/>
      <c r="T32" s="1"/>
      <c r="U32" s="1"/>
      <c r="V32" s="1"/>
      <c r="W32" s="1"/>
      <c r="X32" s="1"/>
      <c r="Y32" s="1"/>
      <c r="Z32" s="1"/>
    </row>
    <row r="33" ht="27.0" customHeight="1">
      <c r="A33" s="1" t="s">
        <v>229</v>
      </c>
      <c r="B33" s="1" t="s">
        <v>238</v>
      </c>
      <c r="C33" s="4" t="s">
        <v>239</v>
      </c>
      <c r="D33" s="1">
        <f>+8801712215160</f>
        <v>8801712215160</v>
      </c>
      <c r="E33" s="1" t="s">
        <v>240</v>
      </c>
      <c r="F33" s="1">
        <v>2020.0</v>
      </c>
      <c r="G33" s="1" t="s">
        <v>241</v>
      </c>
      <c r="H33" s="1" t="s">
        <v>242</v>
      </c>
      <c r="I33" s="5" t="s">
        <v>243</v>
      </c>
      <c r="J33" s="5" t="s">
        <v>142</v>
      </c>
      <c r="K33" s="1">
        <v>160.0</v>
      </c>
      <c r="L33" s="1">
        <v>160.0</v>
      </c>
      <c r="M33" s="1">
        <v>0.0</v>
      </c>
      <c r="N33" s="1">
        <v>0.0</v>
      </c>
      <c r="O33" s="3" t="s">
        <v>237</v>
      </c>
      <c r="P33" s="1"/>
      <c r="Q33" s="1"/>
      <c r="R33" s="1"/>
      <c r="S33" s="1"/>
      <c r="T33" s="1"/>
      <c r="U33" s="1"/>
      <c r="V33" s="1"/>
      <c r="W33" s="1"/>
      <c r="X33" s="1"/>
      <c r="Y33" s="1"/>
      <c r="Z33" s="1"/>
    </row>
    <row r="34" ht="27.0" customHeight="1">
      <c r="A34" s="1" t="s">
        <v>229</v>
      </c>
      <c r="B34" s="1" t="s">
        <v>244</v>
      </c>
      <c r="C34" s="4" t="s">
        <v>245</v>
      </c>
      <c r="D34" s="1" t="s">
        <v>40</v>
      </c>
      <c r="E34" s="1" t="s">
        <v>246</v>
      </c>
      <c r="F34" s="1">
        <v>2020.0</v>
      </c>
      <c r="G34" s="1" t="s">
        <v>247</v>
      </c>
      <c r="H34" s="1" t="s">
        <v>40</v>
      </c>
      <c r="I34" s="5" t="s">
        <v>248</v>
      </c>
      <c r="J34" s="5" t="s">
        <v>249</v>
      </c>
      <c r="K34" s="1" t="s">
        <v>40</v>
      </c>
      <c r="L34" s="1" t="s">
        <v>40</v>
      </c>
      <c r="M34" s="1" t="s">
        <v>40</v>
      </c>
      <c r="N34" s="1" t="s">
        <v>40</v>
      </c>
      <c r="O34" s="3" t="s">
        <v>237</v>
      </c>
      <c r="P34" s="1"/>
      <c r="Q34" s="1"/>
      <c r="R34" s="1"/>
      <c r="S34" s="1"/>
      <c r="T34" s="1"/>
      <c r="U34" s="1"/>
      <c r="V34" s="1"/>
      <c r="W34" s="1"/>
      <c r="X34" s="1"/>
      <c r="Y34" s="1"/>
      <c r="Z34" s="1"/>
    </row>
    <row r="35" ht="27.0" customHeight="1">
      <c r="A35" s="1" t="s">
        <v>229</v>
      </c>
      <c r="B35" s="1" t="s">
        <v>250</v>
      </c>
      <c r="C35" s="4" t="s">
        <v>251</v>
      </c>
      <c r="D35" s="1">
        <f>+8801710337907</f>
        <v>8801710337907</v>
      </c>
      <c r="E35" s="1" t="s">
        <v>252</v>
      </c>
      <c r="F35" s="1">
        <v>2001.0</v>
      </c>
      <c r="G35" s="1" t="s">
        <v>253</v>
      </c>
      <c r="H35" s="1" t="s">
        <v>254</v>
      </c>
      <c r="I35" s="5" t="s">
        <v>255</v>
      </c>
      <c r="J35" s="5" t="s">
        <v>142</v>
      </c>
      <c r="K35" s="1">
        <v>275.0</v>
      </c>
      <c r="L35" s="1">
        <v>150.0</v>
      </c>
      <c r="M35" s="1">
        <v>25.0</v>
      </c>
      <c r="N35" s="1">
        <v>100.0</v>
      </c>
      <c r="O35" s="3" t="s">
        <v>237</v>
      </c>
      <c r="P35" s="1"/>
      <c r="Q35" s="1"/>
      <c r="R35" s="1"/>
      <c r="S35" s="1"/>
      <c r="T35" s="1"/>
      <c r="U35" s="1"/>
      <c r="V35" s="1"/>
      <c r="W35" s="1"/>
      <c r="X35" s="1"/>
      <c r="Y35" s="1"/>
      <c r="Z35" s="1"/>
    </row>
    <row r="36" ht="27.0" customHeight="1">
      <c r="A36" s="1" t="s">
        <v>229</v>
      </c>
      <c r="B36" s="1" t="s">
        <v>256</v>
      </c>
      <c r="C36" s="4" t="s">
        <v>257</v>
      </c>
      <c r="D36" s="1">
        <f>+8802479938045</f>
        <v>8802479938045</v>
      </c>
      <c r="E36" s="1" t="s">
        <v>258</v>
      </c>
      <c r="F36" s="1">
        <v>2022.0</v>
      </c>
      <c r="G36" s="1" t="s">
        <v>259</v>
      </c>
      <c r="H36" s="1" t="s">
        <v>260</v>
      </c>
      <c r="I36" s="5" t="s">
        <v>261</v>
      </c>
      <c r="J36" s="5" t="s">
        <v>262</v>
      </c>
      <c r="K36" s="1">
        <v>160.0</v>
      </c>
      <c r="L36" s="1">
        <v>160.0</v>
      </c>
      <c r="M36" s="1">
        <v>0.0</v>
      </c>
      <c r="N36" s="1">
        <v>0.0</v>
      </c>
      <c r="O36" s="3" t="s">
        <v>237</v>
      </c>
      <c r="P36" s="1"/>
      <c r="Q36" s="1"/>
      <c r="R36" s="1"/>
      <c r="S36" s="1"/>
      <c r="T36" s="1"/>
      <c r="U36" s="1"/>
      <c r="V36" s="1"/>
      <c r="W36" s="1"/>
      <c r="X36" s="1"/>
      <c r="Y36" s="1"/>
      <c r="Z36" s="1"/>
    </row>
    <row r="37" ht="27.0" customHeight="1">
      <c r="A37" s="1" t="s">
        <v>229</v>
      </c>
      <c r="B37" s="1" t="s">
        <v>263</v>
      </c>
      <c r="C37" s="4" t="s">
        <v>264</v>
      </c>
      <c r="D37" s="1">
        <f>+8802478883476</f>
        <v>8802478883476</v>
      </c>
      <c r="E37" s="1" t="s">
        <v>265</v>
      </c>
      <c r="F37" s="1">
        <v>2000.0</v>
      </c>
      <c r="G37" s="1" t="s">
        <v>266</v>
      </c>
      <c r="H37" s="1" t="s">
        <v>267</v>
      </c>
      <c r="I37" s="5" t="s">
        <v>268</v>
      </c>
      <c r="J37" s="5" t="s">
        <v>269</v>
      </c>
      <c r="K37" s="1">
        <v>730.0</v>
      </c>
      <c r="L37" s="1">
        <v>636.0</v>
      </c>
      <c r="M37" s="1">
        <v>27.0</v>
      </c>
      <c r="N37" s="1">
        <v>67.0</v>
      </c>
      <c r="O37" s="3" t="s">
        <v>237</v>
      </c>
      <c r="P37" s="1"/>
      <c r="Q37" s="1"/>
      <c r="R37" s="1"/>
      <c r="S37" s="1"/>
      <c r="T37" s="1"/>
      <c r="U37" s="1"/>
      <c r="V37" s="1"/>
      <c r="W37" s="1"/>
      <c r="X37" s="1"/>
      <c r="Y37" s="1"/>
      <c r="Z37" s="1"/>
    </row>
    <row r="38" ht="27.0" customHeight="1">
      <c r="A38" s="1" t="s">
        <v>229</v>
      </c>
      <c r="B38" s="1" t="s">
        <v>270</v>
      </c>
      <c r="C38" s="4" t="s">
        <v>271</v>
      </c>
      <c r="D38" s="1">
        <f>+8802588845193</f>
        <v>8802588845193</v>
      </c>
      <c r="E38" s="1" t="s">
        <v>272</v>
      </c>
      <c r="F38" s="1">
        <v>2008.0</v>
      </c>
      <c r="G38" s="1" t="s">
        <v>273</v>
      </c>
      <c r="H38" s="1" t="s">
        <v>274</v>
      </c>
      <c r="I38" s="5" t="s">
        <v>275</v>
      </c>
      <c r="J38" s="5" t="s">
        <v>276</v>
      </c>
      <c r="K38" s="1">
        <v>920.0</v>
      </c>
      <c r="L38" s="1">
        <v>650.0</v>
      </c>
      <c r="M38" s="1">
        <v>170.0</v>
      </c>
      <c r="N38" s="1">
        <v>100.0</v>
      </c>
      <c r="O38" s="3" t="s">
        <v>237</v>
      </c>
      <c r="P38" s="1"/>
      <c r="Q38" s="1"/>
      <c r="R38" s="1"/>
      <c r="S38" s="1"/>
      <c r="T38" s="1"/>
      <c r="U38" s="1"/>
      <c r="V38" s="1"/>
      <c r="W38" s="1"/>
      <c r="X38" s="1"/>
      <c r="Y38" s="1"/>
      <c r="Z38" s="1"/>
    </row>
    <row r="39" ht="27.0" customHeight="1">
      <c r="A39" s="1" t="s">
        <v>229</v>
      </c>
      <c r="B39" s="1" t="s">
        <v>277</v>
      </c>
      <c r="C39" s="4" t="s">
        <v>278</v>
      </c>
      <c r="D39" s="1">
        <f>+88032171486</f>
        <v>88032171486</v>
      </c>
      <c r="E39" s="1" t="s">
        <v>279</v>
      </c>
      <c r="F39" s="1">
        <v>2006.0</v>
      </c>
      <c r="G39" s="1" t="s">
        <v>280</v>
      </c>
      <c r="H39" s="1" t="s">
        <v>281</v>
      </c>
      <c r="I39" s="5" t="s">
        <v>282</v>
      </c>
      <c r="J39" s="5" t="s">
        <v>283</v>
      </c>
      <c r="K39" s="1">
        <v>1380.0</v>
      </c>
      <c r="L39" s="1">
        <v>1144.0</v>
      </c>
      <c r="M39" s="1">
        <v>116.0</v>
      </c>
      <c r="N39" s="1">
        <v>120.0</v>
      </c>
      <c r="O39" s="3" t="s">
        <v>237</v>
      </c>
      <c r="P39" s="1"/>
      <c r="Q39" s="1"/>
      <c r="R39" s="1"/>
      <c r="S39" s="1"/>
      <c r="T39" s="1"/>
      <c r="U39" s="1"/>
      <c r="V39" s="1"/>
      <c r="W39" s="1"/>
      <c r="X39" s="1"/>
      <c r="Y39" s="1"/>
      <c r="Z39" s="1"/>
    </row>
    <row r="40" ht="27.0" customHeight="1">
      <c r="A40" s="1" t="s">
        <v>229</v>
      </c>
      <c r="B40" s="1" t="s">
        <v>284</v>
      </c>
      <c r="C40" s="4" t="s">
        <v>285</v>
      </c>
      <c r="D40" s="1">
        <f>+88042161111</f>
        <v>88042161111</v>
      </c>
      <c r="E40" s="1" t="s">
        <v>286</v>
      </c>
      <c r="F40" s="1">
        <v>2007.0</v>
      </c>
      <c r="G40" s="1" t="s">
        <v>287</v>
      </c>
      <c r="H40" s="1" t="s">
        <v>288</v>
      </c>
      <c r="I40" s="5" t="s">
        <v>289</v>
      </c>
      <c r="J40" s="5" t="s">
        <v>290</v>
      </c>
      <c r="K40" s="1">
        <v>935.0</v>
      </c>
      <c r="L40" s="1">
        <v>805.0</v>
      </c>
      <c r="M40" s="1">
        <v>40.0</v>
      </c>
      <c r="N40" s="1">
        <v>90.0</v>
      </c>
      <c r="O40" s="3" t="s">
        <v>237</v>
      </c>
      <c r="P40" s="1"/>
      <c r="Q40" s="1"/>
      <c r="R40" s="1"/>
      <c r="S40" s="1"/>
      <c r="T40" s="1"/>
      <c r="U40" s="1"/>
      <c r="V40" s="1"/>
      <c r="W40" s="1"/>
      <c r="X40" s="1"/>
      <c r="Y40" s="1"/>
      <c r="Z40" s="1"/>
    </row>
    <row r="41" ht="27.0" customHeight="1">
      <c r="A41" s="1" t="s">
        <v>229</v>
      </c>
      <c r="B41" s="9" t="s">
        <v>291</v>
      </c>
      <c r="C41" s="4" t="s">
        <v>292</v>
      </c>
      <c r="D41" s="9">
        <v>8.801313032541E12</v>
      </c>
      <c r="E41" s="9" t="s">
        <v>293</v>
      </c>
      <c r="F41" s="9">
        <v>2018.0</v>
      </c>
      <c r="G41" s="9" t="s">
        <v>294</v>
      </c>
      <c r="H41" s="9" t="s">
        <v>295</v>
      </c>
      <c r="I41" s="11" t="s">
        <v>296</v>
      </c>
      <c r="J41" s="11" t="s">
        <v>142</v>
      </c>
      <c r="K41" s="9">
        <v>100.0</v>
      </c>
      <c r="L41" s="9">
        <v>100.0</v>
      </c>
      <c r="M41" s="9" t="s">
        <v>40</v>
      </c>
      <c r="N41" s="9" t="s">
        <v>40</v>
      </c>
      <c r="O41" s="3" t="s">
        <v>237</v>
      </c>
      <c r="P41" s="3"/>
      <c r="Q41" s="3"/>
      <c r="R41" s="3"/>
      <c r="S41" s="3"/>
      <c r="T41" s="3"/>
      <c r="U41" s="3"/>
      <c r="V41" s="3"/>
      <c r="W41" s="3"/>
      <c r="X41" s="3"/>
      <c r="Y41" s="3"/>
      <c r="Z41" s="3"/>
    </row>
    <row r="42" ht="27.0" customHeight="1">
      <c r="A42" s="1" t="s">
        <v>297</v>
      </c>
      <c r="B42" s="1" t="s">
        <v>298</v>
      </c>
      <c r="C42" s="4" t="s">
        <v>299</v>
      </c>
      <c r="D42" s="1">
        <v>8.80871612E10</v>
      </c>
      <c r="E42" s="1" t="s">
        <v>300</v>
      </c>
      <c r="F42" s="1">
        <v>2020.0</v>
      </c>
      <c r="G42" s="1" t="s">
        <v>301</v>
      </c>
      <c r="H42" s="1" t="s">
        <v>302</v>
      </c>
      <c r="I42" s="5" t="s">
        <v>303</v>
      </c>
      <c r="J42" s="5" t="s">
        <v>304</v>
      </c>
      <c r="K42" s="1">
        <v>50.0</v>
      </c>
      <c r="L42" s="1">
        <v>50.0</v>
      </c>
      <c r="M42" s="1" t="s">
        <v>40</v>
      </c>
      <c r="N42" s="1" t="s">
        <v>40</v>
      </c>
      <c r="O42" s="3" t="s">
        <v>305</v>
      </c>
      <c r="P42" s="1"/>
      <c r="Q42" s="1"/>
      <c r="R42" s="1"/>
      <c r="S42" s="1"/>
      <c r="T42" s="1"/>
      <c r="U42" s="1"/>
      <c r="V42" s="1"/>
      <c r="W42" s="1"/>
      <c r="X42" s="1"/>
      <c r="Y42" s="1"/>
      <c r="Z42" s="1"/>
    </row>
    <row r="43" ht="27.0" customHeight="1">
      <c r="A43" s="1" t="s">
        <v>297</v>
      </c>
      <c r="B43" s="1" t="s">
        <v>306</v>
      </c>
      <c r="C43" s="4" t="s">
        <v>307</v>
      </c>
      <c r="D43" s="1">
        <v>8.80257316558E11</v>
      </c>
      <c r="E43" s="1" t="s">
        <v>308</v>
      </c>
      <c r="F43" s="1">
        <v>1858.0</v>
      </c>
      <c r="G43" s="1" t="s">
        <v>309</v>
      </c>
      <c r="H43" s="1" t="s">
        <v>310</v>
      </c>
      <c r="I43" s="5" t="s">
        <v>311</v>
      </c>
      <c r="J43" s="5" t="s">
        <v>304</v>
      </c>
      <c r="K43" s="1">
        <v>250.0</v>
      </c>
      <c r="L43" s="1">
        <v>250.0</v>
      </c>
      <c r="M43" s="1" t="s">
        <v>40</v>
      </c>
      <c r="N43" s="1" t="s">
        <v>40</v>
      </c>
      <c r="O43" s="3" t="s">
        <v>305</v>
      </c>
      <c r="P43" s="1"/>
      <c r="Q43" s="1"/>
      <c r="R43" s="1"/>
      <c r="S43" s="1"/>
      <c r="T43" s="1"/>
      <c r="U43" s="1"/>
      <c r="V43" s="1"/>
      <c r="W43" s="1"/>
      <c r="X43" s="1"/>
      <c r="Y43" s="1"/>
      <c r="Z43" s="1"/>
    </row>
    <row r="44" ht="27.0" customHeight="1">
      <c r="A44" s="1" t="s">
        <v>297</v>
      </c>
      <c r="B44" s="1" t="s">
        <v>312</v>
      </c>
      <c r="C44" s="4" t="s">
        <v>313</v>
      </c>
      <c r="D44" s="1">
        <v>8.804312173547E12</v>
      </c>
      <c r="E44" s="1" t="s">
        <v>314</v>
      </c>
      <c r="F44" s="1">
        <v>1968.0</v>
      </c>
      <c r="G44" s="1" t="s">
        <v>315</v>
      </c>
      <c r="H44" s="1" t="s">
        <v>316</v>
      </c>
      <c r="I44" s="5" t="s">
        <v>317</v>
      </c>
      <c r="J44" s="5" t="s">
        <v>304</v>
      </c>
      <c r="K44" s="1">
        <v>225.0</v>
      </c>
      <c r="L44" s="1">
        <v>225.0</v>
      </c>
      <c r="M44" s="1" t="s">
        <v>40</v>
      </c>
      <c r="N44" s="1" t="s">
        <v>40</v>
      </c>
      <c r="O44" s="3" t="s">
        <v>305</v>
      </c>
      <c r="P44" s="1"/>
      <c r="Q44" s="1"/>
      <c r="R44" s="1"/>
      <c r="S44" s="1"/>
      <c r="T44" s="1"/>
      <c r="U44" s="1"/>
      <c r="V44" s="1"/>
      <c r="W44" s="1"/>
      <c r="X44" s="1"/>
      <c r="Y44" s="1"/>
      <c r="Z44" s="1"/>
    </row>
    <row r="45" ht="27.0" customHeight="1">
      <c r="A45" s="1" t="s">
        <v>297</v>
      </c>
      <c r="B45" s="1" t="s">
        <v>318</v>
      </c>
      <c r="C45" s="4" t="s">
        <v>319</v>
      </c>
      <c r="D45" s="1">
        <v>8.8026682255E10</v>
      </c>
      <c r="E45" s="1" t="s">
        <v>320</v>
      </c>
      <c r="F45" s="1">
        <v>2011.0</v>
      </c>
      <c r="G45" s="1" t="s">
        <v>321</v>
      </c>
      <c r="H45" s="1" t="s">
        <v>322</v>
      </c>
      <c r="I45" s="5" t="s">
        <v>323</v>
      </c>
      <c r="J45" s="5" t="s">
        <v>304</v>
      </c>
      <c r="K45" s="1">
        <v>125.0</v>
      </c>
      <c r="L45" s="1">
        <v>125.0</v>
      </c>
      <c r="M45" s="1" t="s">
        <v>40</v>
      </c>
      <c r="N45" s="1" t="s">
        <v>40</v>
      </c>
      <c r="O45" s="3" t="s">
        <v>305</v>
      </c>
      <c r="P45" s="1"/>
      <c r="Q45" s="1"/>
      <c r="R45" s="1"/>
      <c r="S45" s="1"/>
      <c r="T45" s="1"/>
      <c r="U45" s="1"/>
      <c r="V45" s="1"/>
      <c r="W45" s="1"/>
      <c r="X45" s="1"/>
      <c r="Y45" s="1"/>
      <c r="Z45" s="1"/>
    </row>
    <row r="46" ht="27.0" customHeight="1">
      <c r="A46" s="1" t="s">
        <v>297</v>
      </c>
      <c r="B46" s="1" t="s">
        <v>324</v>
      </c>
      <c r="C46" s="4" t="s">
        <v>325</v>
      </c>
      <c r="D46" s="1">
        <v>8.8092161301E10</v>
      </c>
      <c r="E46" s="1" t="s">
        <v>326</v>
      </c>
      <c r="F46" s="1">
        <v>2014.0</v>
      </c>
      <c r="G46" s="1" t="s">
        <v>327</v>
      </c>
      <c r="H46" s="1" t="s">
        <v>328</v>
      </c>
      <c r="I46" s="5" t="s">
        <v>329</v>
      </c>
      <c r="J46" s="5" t="s">
        <v>304</v>
      </c>
      <c r="K46" s="1">
        <v>125.0</v>
      </c>
      <c r="L46" s="1">
        <v>125.0</v>
      </c>
      <c r="M46" s="1" t="s">
        <v>40</v>
      </c>
      <c r="N46" s="1" t="s">
        <v>40</v>
      </c>
      <c r="O46" s="3" t="s">
        <v>305</v>
      </c>
      <c r="P46" s="1"/>
      <c r="Q46" s="1"/>
      <c r="R46" s="1"/>
      <c r="S46" s="1"/>
      <c r="T46" s="1"/>
      <c r="U46" s="1"/>
      <c r="V46" s="1"/>
      <c r="W46" s="1"/>
      <c r="X46" s="1"/>
      <c r="Y46" s="1"/>
      <c r="Z46" s="1"/>
    </row>
    <row r="47" ht="27.0" customHeight="1">
      <c r="A47" s="1" t="s">
        <v>297</v>
      </c>
      <c r="B47" s="1" t="s">
        <v>330</v>
      </c>
      <c r="C47" s="4" t="s">
        <v>331</v>
      </c>
      <c r="D47" s="1">
        <v>8.8083161244E10</v>
      </c>
      <c r="E47" s="1" t="s">
        <v>332</v>
      </c>
      <c r="F47" s="1">
        <v>2018.0</v>
      </c>
      <c r="G47" s="1" t="s">
        <v>333</v>
      </c>
      <c r="H47" s="1" t="s">
        <v>334</v>
      </c>
      <c r="I47" s="5" t="s">
        <v>335</v>
      </c>
      <c r="J47" s="5" t="s">
        <v>304</v>
      </c>
      <c r="K47" s="1">
        <v>50.0</v>
      </c>
      <c r="L47" s="1">
        <v>50.0</v>
      </c>
      <c r="M47" s="1" t="s">
        <v>40</v>
      </c>
      <c r="N47" s="1" t="s">
        <v>40</v>
      </c>
      <c r="O47" s="3" t="s">
        <v>305</v>
      </c>
      <c r="P47" s="1"/>
      <c r="Q47" s="1"/>
      <c r="R47" s="1"/>
      <c r="S47" s="1"/>
      <c r="T47" s="1"/>
      <c r="U47" s="1"/>
      <c r="V47" s="1"/>
      <c r="W47" s="1"/>
      <c r="X47" s="1"/>
      <c r="Y47" s="1"/>
      <c r="Z47" s="1"/>
    </row>
    <row r="48" ht="27.0" customHeight="1">
      <c r="A48" s="1" t="s">
        <v>297</v>
      </c>
      <c r="B48" s="1" t="s">
        <v>336</v>
      </c>
      <c r="C48" s="4" t="s">
        <v>337</v>
      </c>
      <c r="D48" s="1">
        <v>8.805166247E9</v>
      </c>
      <c r="E48" s="1" t="s">
        <v>338</v>
      </c>
      <c r="F48" s="1">
        <v>1992.0</v>
      </c>
      <c r="G48" s="1" t="s">
        <v>339</v>
      </c>
      <c r="H48" s="1" t="s">
        <v>340</v>
      </c>
      <c r="I48" s="5" t="s">
        <v>341</v>
      </c>
      <c r="J48" s="5" t="s">
        <v>304</v>
      </c>
      <c r="K48" s="1">
        <v>225.0</v>
      </c>
      <c r="L48" s="1">
        <v>225.0</v>
      </c>
      <c r="M48" s="1" t="s">
        <v>40</v>
      </c>
      <c r="N48" s="1" t="s">
        <v>40</v>
      </c>
      <c r="O48" s="3" t="s">
        <v>305</v>
      </c>
      <c r="P48" s="1"/>
      <c r="Q48" s="1"/>
      <c r="R48" s="1"/>
      <c r="S48" s="1"/>
      <c r="T48" s="1"/>
      <c r="U48" s="1"/>
      <c r="V48" s="1"/>
      <c r="W48" s="1"/>
      <c r="X48" s="1"/>
      <c r="Y48" s="1"/>
      <c r="Z48" s="1"/>
    </row>
    <row r="49" ht="27.0" customHeight="1">
      <c r="A49" s="1" t="s">
        <v>297</v>
      </c>
      <c r="B49" s="1" t="s">
        <v>342</v>
      </c>
      <c r="C49" s="4" t="s">
        <v>343</v>
      </c>
      <c r="D49" s="1">
        <v>8.8029263155E10</v>
      </c>
      <c r="E49" s="1" t="s">
        <v>344</v>
      </c>
      <c r="F49" s="1">
        <v>2013.0</v>
      </c>
      <c r="G49" s="1" t="s">
        <v>345</v>
      </c>
      <c r="H49" s="1" t="s">
        <v>346</v>
      </c>
      <c r="I49" s="5" t="s">
        <v>347</v>
      </c>
      <c r="J49" s="5" t="s">
        <v>304</v>
      </c>
      <c r="K49" s="1">
        <v>125.0</v>
      </c>
      <c r="L49" s="1">
        <v>125.0</v>
      </c>
      <c r="M49" s="1" t="s">
        <v>40</v>
      </c>
      <c r="N49" s="1" t="s">
        <v>40</v>
      </c>
      <c r="O49" s="3" t="s">
        <v>305</v>
      </c>
      <c r="P49" s="1"/>
      <c r="Q49" s="1"/>
      <c r="R49" s="1"/>
      <c r="S49" s="1"/>
      <c r="T49" s="1"/>
      <c r="U49" s="1"/>
      <c r="V49" s="1"/>
      <c r="W49" s="1"/>
      <c r="X49" s="1"/>
      <c r="Y49" s="1"/>
      <c r="Z49" s="1"/>
    </row>
    <row r="50" ht="27.0" customHeight="1">
      <c r="A50" s="1" t="s">
        <v>297</v>
      </c>
      <c r="B50" s="1" t="s">
        <v>348</v>
      </c>
      <c r="C50" s="4" t="s">
        <v>349</v>
      </c>
      <c r="D50" s="1">
        <v>8.8094161271E10</v>
      </c>
      <c r="E50" s="1" t="s">
        <v>350</v>
      </c>
      <c r="F50" s="1">
        <v>2011.0</v>
      </c>
      <c r="G50" s="1" t="s">
        <v>351</v>
      </c>
      <c r="H50" s="1" t="s">
        <v>352</v>
      </c>
      <c r="I50" s="5" t="s">
        <v>353</v>
      </c>
      <c r="J50" s="5" t="s">
        <v>304</v>
      </c>
      <c r="K50" s="1">
        <v>70.0</v>
      </c>
      <c r="L50" s="1">
        <v>70.0</v>
      </c>
      <c r="M50" s="1" t="s">
        <v>40</v>
      </c>
      <c r="N50" s="1" t="s">
        <v>40</v>
      </c>
      <c r="O50" s="3" t="s">
        <v>305</v>
      </c>
      <c r="P50" s="1"/>
      <c r="Q50" s="1"/>
      <c r="R50" s="1"/>
      <c r="S50" s="1"/>
      <c r="T50" s="1"/>
      <c r="U50" s="1"/>
      <c r="V50" s="1"/>
      <c r="W50" s="1"/>
      <c r="X50" s="1"/>
      <c r="Y50" s="1"/>
      <c r="Z50" s="1"/>
    </row>
    <row r="51" ht="27.0" customHeight="1">
      <c r="A51" s="1" t="s">
        <v>297</v>
      </c>
      <c r="B51" s="1" t="s">
        <v>354</v>
      </c>
      <c r="C51" s="4" t="s">
        <v>355</v>
      </c>
      <c r="D51" s="1">
        <v>8.8024811368E11</v>
      </c>
      <c r="E51" s="1" t="s">
        <v>356</v>
      </c>
      <c r="F51" s="1">
        <v>2006.0</v>
      </c>
      <c r="G51" s="1" t="s">
        <v>357</v>
      </c>
      <c r="H51" s="1" t="s">
        <v>358</v>
      </c>
      <c r="I51" s="5" t="s">
        <v>359</v>
      </c>
      <c r="J51" s="5" t="s">
        <v>304</v>
      </c>
      <c r="K51" s="1">
        <v>250.0</v>
      </c>
      <c r="L51" s="1">
        <v>250.0</v>
      </c>
      <c r="M51" s="1" t="s">
        <v>40</v>
      </c>
      <c r="N51" s="1" t="s">
        <v>40</v>
      </c>
      <c r="O51" s="3" t="s">
        <v>305</v>
      </c>
      <c r="P51" s="1"/>
      <c r="Q51" s="1"/>
      <c r="R51" s="1"/>
      <c r="S51" s="1"/>
      <c r="T51" s="1"/>
      <c r="U51" s="1"/>
      <c r="V51" s="1"/>
      <c r="W51" s="1"/>
      <c r="X51" s="1"/>
      <c r="Y51" s="1"/>
      <c r="Z51" s="1"/>
    </row>
    <row r="52" ht="27.0" customHeight="1">
      <c r="A52" s="1" t="s">
        <v>297</v>
      </c>
      <c r="B52" s="1" t="s">
        <v>360</v>
      </c>
      <c r="C52" s="4" t="s">
        <v>361</v>
      </c>
      <c r="D52" s="1">
        <v>8.8075164471E10</v>
      </c>
      <c r="E52" s="1" t="s">
        <v>362</v>
      </c>
      <c r="F52" s="1">
        <v>2014.0</v>
      </c>
      <c r="G52" s="1" t="s">
        <v>363</v>
      </c>
      <c r="H52" s="1" t="s">
        <v>364</v>
      </c>
      <c r="I52" s="5" t="s">
        <v>365</v>
      </c>
      <c r="J52" s="5" t="s">
        <v>304</v>
      </c>
      <c r="K52" s="1">
        <v>70.0</v>
      </c>
      <c r="L52" s="1">
        <v>70.0</v>
      </c>
      <c r="M52" s="1" t="s">
        <v>40</v>
      </c>
      <c r="N52" s="1" t="s">
        <v>40</v>
      </c>
      <c r="O52" s="3" t="s">
        <v>305</v>
      </c>
      <c r="P52" s="1"/>
      <c r="Q52" s="1"/>
      <c r="R52" s="1"/>
      <c r="S52" s="1"/>
      <c r="T52" s="1"/>
      <c r="U52" s="1"/>
      <c r="V52" s="1"/>
      <c r="W52" s="1"/>
      <c r="X52" s="1"/>
      <c r="Y52" s="1"/>
      <c r="Z52" s="1"/>
    </row>
    <row r="53" ht="27.0" customHeight="1">
      <c r="A53" s="1" t="s">
        <v>297</v>
      </c>
      <c r="B53" s="1" t="s">
        <v>366</v>
      </c>
      <c r="C53" s="4" t="s">
        <v>367</v>
      </c>
      <c r="D53" s="1">
        <v>8.8047164402E10</v>
      </c>
      <c r="E53" s="1" t="s">
        <v>368</v>
      </c>
      <c r="F53" s="1">
        <v>2011.0</v>
      </c>
      <c r="G53" s="1" t="s">
        <v>369</v>
      </c>
      <c r="H53" s="1" t="s">
        <v>370</v>
      </c>
      <c r="I53" s="5" t="s">
        <v>371</v>
      </c>
      <c r="J53" s="5" t="s">
        <v>304</v>
      </c>
      <c r="K53" s="1">
        <v>70.0</v>
      </c>
      <c r="L53" s="1">
        <v>70.0</v>
      </c>
      <c r="M53" s="1" t="s">
        <v>40</v>
      </c>
      <c r="N53" s="1" t="s">
        <v>40</v>
      </c>
      <c r="O53" s="3" t="s">
        <v>305</v>
      </c>
      <c r="P53" s="1"/>
      <c r="Q53" s="1"/>
      <c r="R53" s="1"/>
      <c r="S53" s="1"/>
      <c r="T53" s="1"/>
      <c r="U53" s="1"/>
      <c r="V53" s="1"/>
      <c r="W53" s="1"/>
      <c r="X53" s="1"/>
      <c r="Y53" s="1"/>
      <c r="Z53" s="1"/>
    </row>
    <row r="54" ht="27.0" customHeight="1">
      <c r="A54" s="1" t="s">
        <v>297</v>
      </c>
      <c r="B54" s="1" t="s">
        <v>372</v>
      </c>
      <c r="C54" s="4" t="s">
        <v>373</v>
      </c>
      <c r="D54" s="1">
        <v>8.805216233E10</v>
      </c>
      <c r="E54" s="1" t="s">
        <v>374</v>
      </c>
      <c r="F54" s="1">
        <v>1970.0</v>
      </c>
      <c r="G54" s="1" t="s">
        <v>375</v>
      </c>
      <c r="H54" s="1" t="s">
        <v>376</v>
      </c>
      <c r="I54" s="5" t="s">
        <v>377</v>
      </c>
      <c r="J54" s="5" t="s">
        <v>304</v>
      </c>
      <c r="K54" s="1">
        <v>225.0</v>
      </c>
      <c r="L54" s="1">
        <v>225.0</v>
      </c>
      <c r="M54" s="1" t="s">
        <v>40</v>
      </c>
      <c r="N54" s="1" t="s">
        <v>40</v>
      </c>
      <c r="O54" s="3" t="s">
        <v>305</v>
      </c>
      <c r="P54" s="1"/>
      <c r="Q54" s="1"/>
      <c r="R54" s="1"/>
      <c r="S54" s="1"/>
      <c r="T54" s="1"/>
      <c r="U54" s="1"/>
      <c r="V54" s="1"/>
      <c r="W54" s="1"/>
      <c r="X54" s="1"/>
      <c r="Y54" s="1"/>
      <c r="Z54" s="1"/>
    </row>
    <row r="55" ht="27.0" customHeight="1">
      <c r="A55" s="1" t="s">
        <v>297</v>
      </c>
      <c r="B55" s="1" t="s">
        <v>378</v>
      </c>
      <c r="C55" s="4" t="s">
        <v>379</v>
      </c>
      <c r="D55" s="1">
        <v>8.8035161042E10</v>
      </c>
      <c r="E55" s="1" t="s">
        <v>380</v>
      </c>
      <c r="F55" s="1">
        <v>2014.0</v>
      </c>
      <c r="G55" s="1" t="s">
        <v>381</v>
      </c>
      <c r="H55" s="1" t="s">
        <v>382</v>
      </c>
      <c r="I55" s="5" t="s">
        <v>383</v>
      </c>
      <c r="J55" s="5" t="s">
        <v>304</v>
      </c>
      <c r="K55" s="1">
        <v>51.0</v>
      </c>
      <c r="L55" s="1">
        <v>51.0</v>
      </c>
      <c r="M55" s="1" t="s">
        <v>40</v>
      </c>
      <c r="N55" s="1" t="s">
        <v>40</v>
      </c>
      <c r="O55" s="3" t="s">
        <v>305</v>
      </c>
      <c r="P55" s="1"/>
      <c r="Q55" s="1"/>
      <c r="R55" s="1"/>
      <c r="S55" s="1"/>
      <c r="T55" s="1"/>
      <c r="U55" s="1"/>
      <c r="V55" s="1"/>
      <c r="W55" s="1"/>
      <c r="X55" s="1"/>
      <c r="Y55" s="1"/>
      <c r="Z55" s="1"/>
    </row>
    <row r="56" ht="27.0" customHeight="1">
      <c r="A56" s="1" t="s">
        <v>297</v>
      </c>
      <c r="B56" s="1" t="s">
        <v>384</v>
      </c>
      <c r="C56" s="4" t="s">
        <v>385</v>
      </c>
      <c r="D56" s="1">
        <v>8.80247812166E11</v>
      </c>
      <c r="E56" s="1" t="s">
        <v>386</v>
      </c>
      <c r="F56" s="1">
        <v>2016.0</v>
      </c>
      <c r="G56" s="1" t="s">
        <v>387</v>
      </c>
      <c r="H56" s="1" t="s">
        <v>388</v>
      </c>
      <c r="I56" s="5" t="s">
        <v>389</v>
      </c>
      <c r="J56" s="5" t="s">
        <v>390</v>
      </c>
      <c r="K56" s="1" t="s">
        <v>40</v>
      </c>
      <c r="L56" s="1" t="s">
        <v>40</v>
      </c>
      <c r="M56" s="1" t="s">
        <v>40</v>
      </c>
      <c r="N56" s="1" t="s">
        <v>40</v>
      </c>
      <c r="O56" s="3" t="s">
        <v>305</v>
      </c>
      <c r="P56" s="1"/>
      <c r="Q56" s="1"/>
      <c r="R56" s="1"/>
      <c r="S56" s="1"/>
      <c r="T56" s="1"/>
      <c r="U56" s="1"/>
      <c r="V56" s="1"/>
      <c r="W56" s="1"/>
      <c r="X56" s="1"/>
      <c r="Y56" s="1"/>
      <c r="Z56" s="1"/>
    </row>
    <row r="57" ht="27.0" customHeight="1">
      <c r="A57" s="1" t="s">
        <v>297</v>
      </c>
      <c r="B57" s="1" t="s">
        <v>391</v>
      </c>
      <c r="C57" s="4" t="s">
        <v>392</v>
      </c>
      <c r="D57" s="1">
        <v>8.8072177215E11</v>
      </c>
      <c r="E57" s="1" t="s">
        <v>393</v>
      </c>
      <c r="F57" s="1">
        <v>1958.0</v>
      </c>
      <c r="G57" s="1" t="s">
        <v>394</v>
      </c>
      <c r="H57" s="1" t="s">
        <v>395</v>
      </c>
      <c r="I57" s="5" t="s">
        <v>396</v>
      </c>
      <c r="J57" s="5" t="s">
        <v>304</v>
      </c>
      <c r="K57" s="1">
        <v>225.0</v>
      </c>
      <c r="L57" s="1">
        <v>225.0</v>
      </c>
      <c r="M57" s="1" t="s">
        <v>40</v>
      </c>
      <c r="N57" s="1" t="s">
        <v>40</v>
      </c>
      <c r="O57" s="3" t="s">
        <v>305</v>
      </c>
      <c r="P57" s="1"/>
      <c r="Q57" s="1"/>
      <c r="R57" s="1"/>
      <c r="S57" s="1"/>
      <c r="T57" s="1"/>
      <c r="U57" s="1"/>
      <c r="V57" s="1"/>
      <c r="W57" s="1"/>
      <c r="X57" s="1"/>
      <c r="Y57" s="1"/>
      <c r="Z57" s="1"/>
    </row>
    <row r="58" ht="27.0" customHeight="1">
      <c r="A58" s="1" t="s">
        <v>297</v>
      </c>
      <c r="B58" s="1" t="s">
        <v>397</v>
      </c>
      <c r="C58" s="4" t="s">
        <v>398</v>
      </c>
      <c r="D58" s="1">
        <v>8.80441634E10</v>
      </c>
      <c r="E58" s="1" t="s">
        <v>399</v>
      </c>
      <c r="F58" s="1">
        <v>2014.0</v>
      </c>
      <c r="G58" s="1" t="s">
        <v>400</v>
      </c>
      <c r="H58" s="1" t="s">
        <v>401</v>
      </c>
      <c r="I58" s="5" t="s">
        <v>402</v>
      </c>
      <c r="J58" s="5" t="s">
        <v>304</v>
      </c>
      <c r="K58" s="1">
        <v>100.0</v>
      </c>
      <c r="L58" s="1">
        <v>100.0</v>
      </c>
      <c r="M58" s="1" t="s">
        <v>40</v>
      </c>
      <c r="N58" s="1" t="s">
        <v>40</v>
      </c>
      <c r="O58" s="3" t="s">
        <v>305</v>
      </c>
      <c r="P58" s="1"/>
      <c r="Q58" s="1"/>
      <c r="R58" s="1"/>
      <c r="S58" s="1"/>
      <c r="T58" s="1"/>
      <c r="U58" s="1"/>
      <c r="V58" s="1"/>
      <c r="W58" s="1"/>
      <c r="X58" s="1"/>
      <c r="Y58" s="1"/>
      <c r="Z58" s="1"/>
    </row>
    <row r="59" ht="27.0" customHeight="1">
      <c r="A59" s="1" t="s">
        <v>297</v>
      </c>
      <c r="B59" s="1" t="s">
        <v>403</v>
      </c>
      <c r="C59" s="4" t="s">
        <v>404</v>
      </c>
      <c r="D59" s="1">
        <v>8.8073164923E10</v>
      </c>
      <c r="E59" s="1" t="s">
        <v>405</v>
      </c>
      <c r="F59" s="1">
        <v>2008.0</v>
      </c>
      <c r="G59" s="1" t="s">
        <v>406</v>
      </c>
      <c r="H59" s="1" t="s">
        <v>407</v>
      </c>
      <c r="I59" s="5" t="s">
        <v>408</v>
      </c>
      <c r="J59" s="5" t="s">
        <v>304</v>
      </c>
      <c r="K59" s="1">
        <v>65.0</v>
      </c>
      <c r="L59" s="1">
        <v>65.0</v>
      </c>
      <c r="M59" s="1" t="s">
        <v>40</v>
      </c>
      <c r="N59" s="1" t="s">
        <v>40</v>
      </c>
      <c r="O59" s="3" t="s">
        <v>305</v>
      </c>
      <c r="P59" s="1"/>
      <c r="Q59" s="1"/>
      <c r="R59" s="1"/>
      <c r="S59" s="1"/>
      <c r="T59" s="1"/>
      <c r="U59" s="1"/>
      <c r="V59" s="1"/>
      <c r="W59" s="1"/>
      <c r="X59" s="1"/>
      <c r="Y59" s="1"/>
      <c r="Z59" s="1"/>
    </row>
    <row r="60" ht="27.0" customHeight="1">
      <c r="A60" s="1" t="s">
        <v>297</v>
      </c>
      <c r="B60" s="1" t="s">
        <v>409</v>
      </c>
      <c r="C60" s="4" t="s">
        <v>410</v>
      </c>
      <c r="D60" s="1">
        <v>8.80551614E10</v>
      </c>
      <c r="E60" s="1" t="s">
        <v>411</v>
      </c>
      <c r="F60" s="1">
        <v>2018.0</v>
      </c>
      <c r="G60" s="1" t="s">
        <v>412</v>
      </c>
      <c r="H60" s="1" t="s">
        <v>413</v>
      </c>
      <c r="I60" s="5" t="s">
        <v>414</v>
      </c>
      <c r="J60" s="5" t="s">
        <v>304</v>
      </c>
      <c r="K60" s="1">
        <v>70.0</v>
      </c>
      <c r="L60" s="1">
        <v>70.0</v>
      </c>
      <c r="M60" s="1" t="s">
        <v>40</v>
      </c>
      <c r="N60" s="1" t="s">
        <v>40</v>
      </c>
      <c r="O60" s="3" t="s">
        <v>305</v>
      </c>
      <c r="P60" s="1"/>
      <c r="Q60" s="1"/>
      <c r="R60" s="1"/>
      <c r="S60" s="1"/>
      <c r="T60" s="1"/>
      <c r="U60" s="1"/>
      <c r="V60" s="1"/>
      <c r="W60" s="1"/>
      <c r="X60" s="1"/>
      <c r="Y60" s="1"/>
      <c r="Z60" s="1"/>
    </row>
    <row r="61" ht="27.0" customHeight="1">
      <c r="A61" s="1" t="s">
        <v>297</v>
      </c>
      <c r="B61" s="1" t="s">
        <v>415</v>
      </c>
      <c r="C61" s="4" t="s">
        <v>416</v>
      </c>
      <c r="D61" s="1">
        <v>8.8093161555E10</v>
      </c>
      <c r="E61" s="1" t="s">
        <v>417</v>
      </c>
      <c r="F61" s="1">
        <v>2018.0</v>
      </c>
      <c r="G61" s="1" t="s">
        <v>418</v>
      </c>
      <c r="H61" s="1" t="s">
        <v>419</v>
      </c>
      <c r="I61" s="5" t="s">
        <v>420</v>
      </c>
      <c r="J61" s="5" t="s">
        <v>304</v>
      </c>
      <c r="K61" s="1">
        <v>70.0</v>
      </c>
      <c r="L61" s="1">
        <v>70.0</v>
      </c>
      <c r="M61" s="1" t="s">
        <v>40</v>
      </c>
      <c r="N61" s="1" t="s">
        <v>40</v>
      </c>
      <c r="O61" s="3" t="s">
        <v>305</v>
      </c>
      <c r="P61" s="1"/>
      <c r="Q61" s="1"/>
      <c r="R61" s="1"/>
      <c r="S61" s="1"/>
      <c r="T61" s="1"/>
      <c r="U61" s="1"/>
      <c r="V61" s="1"/>
      <c r="W61" s="1"/>
      <c r="X61" s="1"/>
      <c r="Y61" s="1"/>
      <c r="Z61" s="1"/>
    </row>
    <row r="62" ht="27.0" customHeight="1">
      <c r="A62" s="1" t="s">
        <v>297</v>
      </c>
      <c r="B62" s="1" t="s">
        <v>421</v>
      </c>
      <c r="C62" s="4" t="s">
        <v>422</v>
      </c>
      <c r="D62" s="1">
        <v>8.80741613E10</v>
      </c>
      <c r="E62" s="1" t="s">
        <v>423</v>
      </c>
      <c r="F62" s="1">
        <v>2018.0</v>
      </c>
      <c r="G62" s="1" t="s">
        <v>424</v>
      </c>
      <c r="H62" s="1" t="s">
        <v>425</v>
      </c>
      <c r="I62" s="5" t="s">
        <v>426</v>
      </c>
      <c r="J62" s="5" t="s">
        <v>304</v>
      </c>
      <c r="K62" s="1">
        <v>70.0</v>
      </c>
      <c r="L62" s="1">
        <v>70.0</v>
      </c>
      <c r="M62" s="1" t="s">
        <v>40</v>
      </c>
      <c r="N62" s="1" t="s">
        <v>40</v>
      </c>
      <c r="O62" s="3" t="s">
        <v>305</v>
      </c>
      <c r="P62" s="1"/>
      <c r="Q62" s="1"/>
      <c r="R62" s="1"/>
      <c r="S62" s="1"/>
      <c r="T62" s="1"/>
      <c r="U62" s="1"/>
      <c r="V62" s="1"/>
      <c r="W62" s="1"/>
      <c r="X62" s="1"/>
      <c r="Y62" s="1"/>
      <c r="Z62" s="1"/>
    </row>
    <row r="63" ht="27.0" customHeight="1">
      <c r="A63" s="1" t="s">
        <v>297</v>
      </c>
      <c r="B63" s="1" t="s">
        <v>427</v>
      </c>
      <c r="C63" s="4" t="s">
        <v>428</v>
      </c>
      <c r="D63" s="1" t="s">
        <v>429</v>
      </c>
      <c r="E63" s="1" t="s">
        <v>430</v>
      </c>
      <c r="F63" s="1">
        <v>1962.0</v>
      </c>
      <c r="G63" s="1" t="s">
        <v>431</v>
      </c>
      <c r="H63" s="1" t="s">
        <v>432</v>
      </c>
      <c r="I63" s="5" t="s">
        <v>433</v>
      </c>
      <c r="J63" s="5" t="s">
        <v>304</v>
      </c>
      <c r="K63" s="1">
        <v>250.0</v>
      </c>
      <c r="L63" s="1">
        <v>250.0</v>
      </c>
      <c r="M63" s="1" t="s">
        <v>40</v>
      </c>
      <c r="N63" s="1" t="s">
        <v>40</v>
      </c>
      <c r="O63" s="3" t="s">
        <v>305</v>
      </c>
      <c r="P63" s="1"/>
      <c r="Q63" s="1"/>
      <c r="R63" s="1"/>
      <c r="S63" s="1"/>
      <c r="T63" s="1"/>
      <c r="U63" s="1"/>
      <c r="V63" s="1"/>
      <c r="W63" s="1"/>
      <c r="X63" s="1"/>
      <c r="Y63" s="1"/>
      <c r="Z63" s="1"/>
    </row>
    <row r="64" ht="27.0" customHeight="1">
      <c r="A64" s="1" t="s">
        <v>297</v>
      </c>
      <c r="B64" s="1" t="s">
        <v>434</v>
      </c>
      <c r="C64" s="4" t="s">
        <v>435</v>
      </c>
      <c r="D64" s="1">
        <v>8.802727634E10</v>
      </c>
      <c r="E64" s="1" t="s">
        <v>436</v>
      </c>
      <c r="F64" s="1">
        <v>2015.0</v>
      </c>
      <c r="G64" s="1" t="s">
        <v>437</v>
      </c>
      <c r="H64" s="1" t="s">
        <v>438</v>
      </c>
      <c r="I64" s="5" t="s">
        <v>439</v>
      </c>
      <c r="J64" s="5" t="s">
        <v>304</v>
      </c>
      <c r="K64" s="1">
        <v>100.0</v>
      </c>
      <c r="L64" s="1">
        <v>100.0</v>
      </c>
      <c r="M64" s="1" t="s">
        <v>40</v>
      </c>
      <c r="N64" s="1" t="s">
        <v>40</v>
      </c>
      <c r="O64" s="3" t="s">
        <v>305</v>
      </c>
      <c r="P64" s="1"/>
      <c r="Q64" s="1"/>
      <c r="R64" s="1"/>
      <c r="S64" s="1"/>
      <c r="T64" s="1"/>
      <c r="U64" s="1"/>
      <c r="V64" s="1"/>
      <c r="W64" s="1"/>
      <c r="X64" s="1"/>
      <c r="Y64" s="1"/>
      <c r="Z64" s="1"/>
    </row>
    <row r="65" ht="27.0" customHeight="1">
      <c r="A65" s="1" t="s">
        <v>297</v>
      </c>
      <c r="B65" s="1" t="s">
        <v>440</v>
      </c>
      <c r="C65" s="4" t="s">
        <v>441</v>
      </c>
      <c r="D65" s="1">
        <v>8.80488623E10</v>
      </c>
      <c r="E65" s="1" t="s">
        <v>442</v>
      </c>
      <c r="F65" s="1">
        <v>2018.0</v>
      </c>
      <c r="G65" s="1" t="s">
        <v>443</v>
      </c>
      <c r="H65" s="1" t="s">
        <v>444</v>
      </c>
      <c r="I65" s="5" t="s">
        <v>445</v>
      </c>
      <c r="J65" s="5" t="s">
        <v>304</v>
      </c>
      <c r="K65" s="1">
        <v>70.0</v>
      </c>
      <c r="L65" s="1">
        <v>70.0</v>
      </c>
      <c r="M65" s="1" t="s">
        <v>40</v>
      </c>
      <c r="N65" s="1" t="s">
        <v>40</v>
      </c>
      <c r="O65" s="3" t="s">
        <v>305</v>
      </c>
      <c r="P65" s="1"/>
      <c r="Q65" s="1"/>
      <c r="R65" s="1"/>
      <c r="S65" s="1"/>
      <c r="T65" s="1"/>
      <c r="U65" s="1"/>
      <c r="V65" s="1"/>
      <c r="W65" s="1"/>
      <c r="X65" s="1"/>
      <c r="Y65" s="1"/>
      <c r="Z65" s="1"/>
    </row>
    <row r="66" ht="27.0" customHeight="1">
      <c r="A66" s="1" t="s">
        <v>297</v>
      </c>
      <c r="B66" s="1" t="s">
        <v>446</v>
      </c>
      <c r="C66" s="4" t="s">
        <v>447</v>
      </c>
      <c r="D66" s="1">
        <v>8.808217144E11</v>
      </c>
      <c r="E66" s="1" t="s">
        <v>448</v>
      </c>
      <c r="F66" s="1">
        <v>1962.0</v>
      </c>
      <c r="G66" s="1" t="s">
        <v>449</v>
      </c>
      <c r="H66" s="1" t="s">
        <v>450</v>
      </c>
      <c r="I66" s="5" t="s">
        <v>451</v>
      </c>
      <c r="J66" s="5" t="s">
        <v>304</v>
      </c>
      <c r="K66" s="1">
        <v>250.0</v>
      </c>
      <c r="L66" s="1">
        <v>250.0</v>
      </c>
      <c r="M66" s="1" t="s">
        <v>40</v>
      </c>
      <c r="N66" s="1" t="s">
        <v>40</v>
      </c>
      <c r="O66" s="3" t="s">
        <v>305</v>
      </c>
      <c r="P66" s="1"/>
      <c r="Q66" s="1"/>
      <c r="R66" s="1"/>
      <c r="S66" s="1"/>
      <c r="T66" s="1"/>
      <c r="U66" s="1"/>
      <c r="V66" s="1"/>
      <c r="W66" s="1"/>
      <c r="X66" s="1"/>
      <c r="Y66" s="1"/>
      <c r="Z66" s="1"/>
    </row>
    <row r="67" ht="27.0" customHeight="1">
      <c r="A67" s="1" t="s">
        <v>297</v>
      </c>
      <c r="B67" s="1" t="s">
        <v>452</v>
      </c>
      <c r="C67" s="4" t="s">
        <v>453</v>
      </c>
      <c r="D67" s="1">
        <v>8.8053165215E10</v>
      </c>
      <c r="E67" s="1" t="s">
        <v>454</v>
      </c>
      <c r="F67" s="1">
        <v>1992.0</v>
      </c>
      <c r="G67" s="1" t="s">
        <v>455</v>
      </c>
      <c r="H67" s="1" t="s">
        <v>456</v>
      </c>
      <c r="I67" s="5" t="s">
        <v>457</v>
      </c>
      <c r="J67" s="5" t="s">
        <v>304</v>
      </c>
      <c r="K67" s="1">
        <v>225.0</v>
      </c>
      <c r="L67" s="1">
        <v>225.0</v>
      </c>
      <c r="M67" s="1" t="s">
        <v>40</v>
      </c>
      <c r="N67" s="1" t="s">
        <v>40</v>
      </c>
      <c r="O67" s="3" t="s">
        <v>305</v>
      </c>
      <c r="P67" s="1"/>
      <c r="Q67" s="1"/>
      <c r="R67" s="1"/>
      <c r="S67" s="1"/>
      <c r="T67" s="1"/>
      <c r="U67" s="1"/>
      <c r="V67" s="1"/>
      <c r="W67" s="1"/>
      <c r="X67" s="1"/>
      <c r="Y67" s="1"/>
      <c r="Z67" s="1"/>
    </row>
    <row r="68" ht="27.0" customHeight="1">
      <c r="A68" s="1" t="s">
        <v>297</v>
      </c>
      <c r="B68" s="1" t="s">
        <v>458</v>
      </c>
      <c r="C68" s="4" t="s">
        <v>459</v>
      </c>
      <c r="D68" s="1">
        <v>8.807173255E9</v>
      </c>
      <c r="E68" s="1" t="s">
        <v>460</v>
      </c>
      <c r="F68" s="1">
        <v>2011.0</v>
      </c>
      <c r="G68" s="1" t="s">
        <v>461</v>
      </c>
      <c r="H68" s="1" t="s">
        <v>462</v>
      </c>
      <c r="I68" s="5" t="s">
        <v>463</v>
      </c>
      <c r="J68" s="5" t="s">
        <v>304</v>
      </c>
      <c r="K68" s="1">
        <v>65.0</v>
      </c>
      <c r="L68" s="1">
        <v>65.0</v>
      </c>
      <c r="M68" s="1" t="s">
        <v>40</v>
      </c>
      <c r="N68" s="1" t="s">
        <v>40</v>
      </c>
      <c r="O68" s="3" t="s">
        <v>305</v>
      </c>
      <c r="P68" s="1"/>
      <c r="Q68" s="1"/>
      <c r="R68" s="1"/>
      <c r="S68" s="1"/>
      <c r="T68" s="1"/>
      <c r="U68" s="1"/>
      <c r="V68" s="1"/>
      <c r="W68" s="1"/>
      <c r="X68" s="1"/>
      <c r="Y68" s="1"/>
      <c r="Z68" s="1"/>
    </row>
    <row r="69" ht="27.0" customHeight="1">
      <c r="A69" s="1" t="s">
        <v>297</v>
      </c>
      <c r="B69" s="1" t="s">
        <v>464</v>
      </c>
      <c r="C69" s="4" t="s">
        <v>465</v>
      </c>
      <c r="D69" s="1">
        <v>8.801911840095E12</v>
      </c>
      <c r="E69" s="1" t="s">
        <v>466</v>
      </c>
      <c r="F69" s="1">
        <v>2021.0</v>
      </c>
      <c r="G69" s="1" t="s">
        <v>467</v>
      </c>
      <c r="H69" s="1" t="s">
        <v>468</v>
      </c>
      <c r="I69" s="5" t="s">
        <v>469</v>
      </c>
      <c r="J69" s="5" t="s">
        <v>390</v>
      </c>
      <c r="K69" s="1" t="s">
        <v>40</v>
      </c>
      <c r="L69" s="1" t="s">
        <v>40</v>
      </c>
      <c r="M69" s="1" t="s">
        <v>40</v>
      </c>
      <c r="N69" s="1" t="s">
        <v>40</v>
      </c>
      <c r="O69" s="3" t="s">
        <v>305</v>
      </c>
      <c r="P69" s="1"/>
      <c r="Q69" s="1"/>
      <c r="R69" s="1"/>
      <c r="S69" s="1"/>
      <c r="T69" s="1"/>
      <c r="U69" s="1"/>
      <c r="V69" s="1"/>
      <c r="W69" s="1"/>
      <c r="X69" s="1"/>
      <c r="Y69" s="1"/>
      <c r="Z69" s="1"/>
    </row>
    <row r="70" ht="27.0" customHeight="1">
      <c r="A70" s="1" t="s">
        <v>297</v>
      </c>
      <c r="B70" s="1" t="s">
        <v>470</v>
      </c>
      <c r="C70" s="4" t="s">
        <v>471</v>
      </c>
      <c r="D70" s="1">
        <v>8.804176035E10</v>
      </c>
      <c r="E70" s="1" t="s">
        <v>472</v>
      </c>
      <c r="F70" s="1">
        <v>1992.0</v>
      </c>
      <c r="G70" s="1" t="s">
        <v>473</v>
      </c>
      <c r="H70" s="1" t="s">
        <v>474</v>
      </c>
      <c r="I70" s="5" t="s">
        <v>475</v>
      </c>
      <c r="J70" s="5" t="s">
        <v>304</v>
      </c>
      <c r="K70" s="1">
        <v>200.0</v>
      </c>
      <c r="L70" s="1">
        <v>200.0</v>
      </c>
      <c r="M70" s="1" t="s">
        <v>40</v>
      </c>
      <c r="N70" s="1" t="s">
        <v>40</v>
      </c>
      <c r="O70" s="3" t="s">
        <v>305</v>
      </c>
      <c r="P70" s="1"/>
      <c r="Q70" s="1"/>
      <c r="R70" s="1"/>
      <c r="S70" s="1"/>
      <c r="T70" s="1"/>
      <c r="U70" s="1"/>
      <c r="V70" s="1"/>
      <c r="W70" s="1"/>
      <c r="X70" s="1"/>
      <c r="Y70" s="1"/>
      <c r="Z70" s="1"/>
    </row>
    <row r="71" ht="27.0" customHeight="1">
      <c r="A71" s="1" t="s">
        <v>297</v>
      </c>
      <c r="B71" s="1" t="s">
        <v>476</v>
      </c>
      <c r="C71" s="4" t="s">
        <v>477</v>
      </c>
      <c r="D71" s="1">
        <v>8.804216894E10</v>
      </c>
      <c r="E71" s="1" t="s">
        <v>478</v>
      </c>
      <c r="F71" s="1">
        <v>2010.0</v>
      </c>
      <c r="G71" s="1" t="s">
        <v>479</v>
      </c>
      <c r="H71" s="1" t="s">
        <v>480</v>
      </c>
      <c r="I71" s="5" t="s">
        <v>481</v>
      </c>
      <c r="J71" s="5" t="s">
        <v>304</v>
      </c>
      <c r="K71" s="1">
        <v>70.0</v>
      </c>
      <c r="L71" s="1">
        <v>70.0</v>
      </c>
      <c r="M71" s="1" t="s">
        <v>40</v>
      </c>
      <c r="N71" s="1" t="s">
        <v>40</v>
      </c>
      <c r="O71" s="3" t="s">
        <v>305</v>
      </c>
      <c r="P71" s="1"/>
      <c r="Q71" s="1"/>
      <c r="R71" s="1"/>
      <c r="S71" s="1"/>
      <c r="T71" s="1"/>
      <c r="U71" s="1"/>
      <c r="V71" s="1"/>
      <c r="W71" s="1"/>
      <c r="X71" s="1"/>
      <c r="Y71" s="1"/>
      <c r="Z71" s="1"/>
    </row>
    <row r="72" ht="27.0" customHeight="1">
      <c r="A72" s="1" t="s">
        <v>297</v>
      </c>
      <c r="B72" s="1" t="s">
        <v>482</v>
      </c>
      <c r="C72" s="4" t="s">
        <v>483</v>
      </c>
      <c r="D72" s="1">
        <v>8.8063162744E10</v>
      </c>
      <c r="E72" s="1" t="s">
        <v>484</v>
      </c>
      <c r="F72" s="1">
        <v>1992.0</v>
      </c>
      <c r="G72" s="1" t="s">
        <v>485</v>
      </c>
      <c r="H72" s="1" t="s">
        <v>486</v>
      </c>
      <c r="I72" s="5" t="s">
        <v>487</v>
      </c>
      <c r="J72" s="5" t="s">
        <v>304</v>
      </c>
      <c r="K72" s="1">
        <v>200.0</v>
      </c>
      <c r="L72" s="1">
        <v>200.0</v>
      </c>
      <c r="M72" s="1" t="s">
        <v>40</v>
      </c>
      <c r="N72" s="1" t="s">
        <v>40</v>
      </c>
      <c r="O72" s="3" t="s">
        <v>305</v>
      </c>
      <c r="P72" s="1"/>
      <c r="Q72" s="1"/>
      <c r="R72" s="1"/>
      <c r="S72" s="1"/>
      <c r="T72" s="1"/>
      <c r="U72" s="1"/>
      <c r="V72" s="1"/>
      <c r="W72" s="1"/>
      <c r="X72" s="1"/>
      <c r="Y72" s="1"/>
      <c r="Z72" s="1"/>
    </row>
    <row r="73" ht="27.0" customHeight="1">
      <c r="A73" s="1" t="s">
        <v>297</v>
      </c>
      <c r="B73" s="1" t="s">
        <v>488</v>
      </c>
      <c r="C73" s="4" t="s">
        <v>489</v>
      </c>
      <c r="D73" s="1">
        <v>8.80255165088E11</v>
      </c>
      <c r="E73" s="1" t="s">
        <v>490</v>
      </c>
      <c r="F73" s="1">
        <v>1946.0</v>
      </c>
      <c r="G73" s="1" t="s">
        <v>491</v>
      </c>
      <c r="H73" s="1" t="s">
        <v>492</v>
      </c>
      <c r="I73" s="5" t="s">
        <v>493</v>
      </c>
      <c r="J73" s="5" t="s">
        <v>304</v>
      </c>
      <c r="K73" s="1">
        <v>250.0</v>
      </c>
      <c r="L73" s="1">
        <v>250.0</v>
      </c>
      <c r="M73" s="1" t="s">
        <v>40</v>
      </c>
      <c r="N73" s="1" t="s">
        <v>40</v>
      </c>
      <c r="O73" s="3" t="s">
        <v>305</v>
      </c>
      <c r="P73" s="1"/>
      <c r="Q73" s="1"/>
      <c r="R73" s="1"/>
      <c r="S73" s="1"/>
      <c r="T73" s="1"/>
      <c r="U73" s="1"/>
      <c r="V73" s="1"/>
      <c r="W73" s="1"/>
      <c r="X73" s="1"/>
      <c r="Y73" s="1"/>
      <c r="Z73" s="1"/>
    </row>
    <row r="74" ht="27.0" customHeight="1">
      <c r="A74" s="1" t="s">
        <v>297</v>
      </c>
      <c r="B74" s="1" t="s">
        <v>494</v>
      </c>
      <c r="C74" s="4" t="s">
        <v>495</v>
      </c>
      <c r="D74" s="1">
        <v>8.808168532E9</v>
      </c>
      <c r="E74" s="1" t="s">
        <v>496</v>
      </c>
      <c r="F74" s="1">
        <v>1992.0</v>
      </c>
      <c r="G74" s="1" t="s">
        <v>497</v>
      </c>
      <c r="H74" s="1" t="s">
        <v>498</v>
      </c>
      <c r="I74" s="5" t="s">
        <v>499</v>
      </c>
      <c r="J74" s="5" t="s">
        <v>304</v>
      </c>
      <c r="K74" s="1">
        <v>200.0</v>
      </c>
      <c r="L74" s="1">
        <v>200.0</v>
      </c>
      <c r="M74" s="1" t="s">
        <v>40</v>
      </c>
      <c r="N74" s="1" t="s">
        <v>40</v>
      </c>
      <c r="O74" s="3" t="s">
        <v>305</v>
      </c>
      <c r="P74" s="1"/>
      <c r="Q74" s="1"/>
      <c r="R74" s="1"/>
      <c r="S74" s="1"/>
      <c r="T74" s="1"/>
      <c r="U74" s="1"/>
      <c r="V74" s="1"/>
      <c r="W74" s="1"/>
      <c r="X74" s="1"/>
      <c r="Y74" s="1"/>
      <c r="Z74" s="1"/>
    </row>
    <row r="75" ht="27.0" customHeight="1">
      <c r="A75" s="1" t="s">
        <v>297</v>
      </c>
      <c r="B75" s="1" t="s">
        <v>500</v>
      </c>
      <c r="C75" s="4" t="s">
        <v>501</v>
      </c>
      <c r="D75" s="1">
        <v>8.8034164101E10</v>
      </c>
      <c r="E75" s="1" t="s">
        <v>502</v>
      </c>
      <c r="F75" s="1">
        <v>2008.0</v>
      </c>
      <c r="G75" s="1" t="s">
        <v>503</v>
      </c>
      <c r="H75" s="1" t="s">
        <v>504</v>
      </c>
      <c r="I75" s="5" t="s">
        <v>505</v>
      </c>
      <c r="J75" s="5" t="s">
        <v>304</v>
      </c>
      <c r="K75" s="1">
        <v>70.0</v>
      </c>
      <c r="L75" s="1">
        <v>70.0</v>
      </c>
      <c r="M75" s="1" t="s">
        <v>40</v>
      </c>
      <c r="N75" s="1" t="s">
        <v>40</v>
      </c>
      <c r="O75" s="3" t="s">
        <v>305</v>
      </c>
      <c r="P75" s="1"/>
      <c r="Q75" s="1"/>
      <c r="R75" s="1"/>
      <c r="S75" s="1"/>
      <c r="T75" s="1"/>
      <c r="U75" s="1"/>
      <c r="V75" s="1"/>
      <c r="W75" s="1"/>
      <c r="X75" s="1"/>
      <c r="Y75" s="1"/>
      <c r="Z75" s="1"/>
    </row>
    <row r="76" ht="27.0" customHeight="1">
      <c r="A76" s="1" t="s">
        <v>297</v>
      </c>
      <c r="B76" s="1" t="s">
        <v>506</v>
      </c>
      <c r="C76" s="4" t="s">
        <v>507</v>
      </c>
      <c r="D76" s="1">
        <v>8.8027710041E10</v>
      </c>
      <c r="E76" s="1" t="s">
        <v>508</v>
      </c>
      <c r="F76" s="1">
        <v>2014.0</v>
      </c>
      <c r="G76" s="1" t="s">
        <v>509</v>
      </c>
      <c r="H76" s="1" t="s">
        <v>510</v>
      </c>
      <c r="I76" s="5" t="s">
        <v>511</v>
      </c>
      <c r="J76" s="5" t="s">
        <v>304</v>
      </c>
      <c r="K76" s="1">
        <v>75.0</v>
      </c>
      <c r="L76" s="1">
        <v>75.0</v>
      </c>
      <c r="M76" s="1" t="s">
        <v>40</v>
      </c>
      <c r="N76" s="1" t="s">
        <v>40</v>
      </c>
      <c r="O76" s="3" t="s">
        <v>305</v>
      </c>
      <c r="P76" s="1"/>
      <c r="Q76" s="1"/>
      <c r="R76" s="1"/>
      <c r="S76" s="1"/>
      <c r="T76" s="1"/>
      <c r="U76" s="1"/>
      <c r="V76" s="1"/>
      <c r="W76" s="1"/>
      <c r="X76" s="1"/>
      <c r="Y76" s="1"/>
      <c r="Z76" s="1"/>
    </row>
    <row r="77" ht="27.0" customHeight="1">
      <c r="A77" s="1" t="s">
        <v>297</v>
      </c>
      <c r="B77" s="1" t="s">
        <v>512</v>
      </c>
      <c r="C77" s="4" t="s">
        <v>513</v>
      </c>
      <c r="D77" s="1">
        <v>8.801720964306E12</v>
      </c>
      <c r="E77" s="1" t="s">
        <v>514</v>
      </c>
      <c r="F77" s="1">
        <v>2016.0</v>
      </c>
      <c r="G77" s="1" t="s">
        <v>515</v>
      </c>
      <c r="H77" s="1" t="s">
        <v>516</v>
      </c>
      <c r="I77" s="5" t="s">
        <v>517</v>
      </c>
      <c r="J77" s="5" t="s">
        <v>390</v>
      </c>
      <c r="K77" s="1" t="s">
        <v>40</v>
      </c>
      <c r="L77" s="1" t="s">
        <v>40</v>
      </c>
      <c r="M77" s="1" t="s">
        <v>40</v>
      </c>
      <c r="N77" s="1" t="s">
        <v>40</v>
      </c>
      <c r="O77" s="3" t="s">
        <v>305</v>
      </c>
      <c r="P77" s="1"/>
      <c r="Q77" s="1"/>
      <c r="R77" s="1"/>
      <c r="S77" s="1"/>
      <c r="T77" s="1"/>
      <c r="U77" s="1"/>
      <c r="V77" s="1"/>
      <c r="W77" s="1"/>
      <c r="X77" s="1"/>
      <c r="Y77" s="1"/>
      <c r="Z77" s="1"/>
    </row>
    <row r="78" ht="27.0" customHeight="1">
      <c r="A78" s="1" t="s">
        <v>297</v>
      </c>
      <c r="B78" s="1" t="s">
        <v>518</v>
      </c>
      <c r="C78" s="4" t="s">
        <v>519</v>
      </c>
      <c r="D78" s="1">
        <v>8.80316194E10</v>
      </c>
      <c r="E78" s="1" t="s">
        <v>520</v>
      </c>
      <c r="F78" s="1">
        <v>1957.0</v>
      </c>
      <c r="G78" s="1" t="s">
        <v>521</v>
      </c>
      <c r="H78" s="1" t="s">
        <v>522</v>
      </c>
      <c r="I78" s="5" t="s">
        <v>523</v>
      </c>
      <c r="J78" s="5" t="s">
        <v>304</v>
      </c>
      <c r="K78" s="1">
        <v>250.0</v>
      </c>
      <c r="L78" s="1">
        <v>250.0</v>
      </c>
      <c r="M78" s="1" t="s">
        <v>40</v>
      </c>
      <c r="N78" s="1" t="s">
        <v>40</v>
      </c>
      <c r="O78" s="3" t="s">
        <v>305</v>
      </c>
      <c r="P78" s="1"/>
      <c r="Q78" s="1"/>
      <c r="R78" s="1"/>
      <c r="S78" s="1"/>
      <c r="T78" s="1"/>
      <c r="U78" s="1"/>
      <c r="V78" s="1"/>
      <c r="W78" s="1"/>
      <c r="X78" s="1"/>
      <c r="Y78" s="1"/>
      <c r="Z78" s="1"/>
    </row>
    <row r="79" ht="27.0" customHeight="1">
      <c r="A79" s="1" t="s">
        <v>297</v>
      </c>
      <c r="B79" s="1" t="s">
        <v>524</v>
      </c>
      <c r="C79" s="4" t="s">
        <v>525</v>
      </c>
      <c r="D79" s="1">
        <v>8.80841633E10</v>
      </c>
      <c r="E79" s="1" t="s">
        <v>526</v>
      </c>
      <c r="F79" s="1">
        <v>2018.0</v>
      </c>
      <c r="G79" s="1" t="s">
        <v>527</v>
      </c>
      <c r="H79" s="1" t="s">
        <v>528</v>
      </c>
      <c r="I79" s="5" t="s">
        <v>529</v>
      </c>
      <c r="J79" s="5" t="s">
        <v>304</v>
      </c>
      <c r="K79" s="1">
        <v>50.0</v>
      </c>
      <c r="L79" s="1">
        <v>50.0</v>
      </c>
      <c r="M79" s="1" t="s">
        <v>40</v>
      </c>
      <c r="N79" s="1" t="s">
        <v>40</v>
      </c>
      <c r="O79" s="3" t="s">
        <v>305</v>
      </c>
      <c r="P79" s="1"/>
      <c r="Q79" s="1"/>
      <c r="R79" s="1"/>
      <c r="S79" s="1"/>
      <c r="T79" s="1"/>
      <c r="U79" s="1"/>
      <c r="V79" s="1"/>
      <c r="W79" s="1"/>
      <c r="X79" s="1"/>
      <c r="Y79" s="1"/>
      <c r="Z79" s="1"/>
    </row>
    <row r="80" ht="27.0" customHeight="1">
      <c r="A80" s="1" t="s">
        <v>297</v>
      </c>
      <c r="B80" s="1" t="s">
        <v>530</v>
      </c>
      <c r="C80" s="4" t="s">
        <v>531</v>
      </c>
      <c r="D80" s="1">
        <v>8.801712211444E12</v>
      </c>
      <c r="E80" s="1" t="s">
        <v>532</v>
      </c>
      <c r="F80" s="1">
        <v>2018.0</v>
      </c>
      <c r="G80" s="1" t="s">
        <v>533</v>
      </c>
      <c r="H80" s="1" t="s">
        <v>534</v>
      </c>
      <c r="I80" s="5" t="s">
        <v>535</v>
      </c>
      <c r="J80" s="5" t="s">
        <v>536</v>
      </c>
      <c r="K80" s="1">
        <v>50.0</v>
      </c>
      <c r="L80" s="1">
        <v>50.0</v>
      </c>
      <c r="M80" s="1" t="s">
        <v>40</v>
      </c>
      <c r="N80" s="1" t="s">
        <v>40</v>
      </c>
      <c r="O80" s="3" t="s">
        <v>305</v>
      </c>
      <c r="P80" s="1"/>
      <c r="Q80" s="1"/>
      <c r="R80" s="1"/>
      <c r="S80" s="1"/>
      <c r="T80" s="1"/>
      <c r="U80" s="1"/>
      <c r="V80" s="1"/>
      <c r="W80" s="1"/>
      <c r="X80" s="1"/>
      <c r="Y80" s="1"/>
      <c r="Z80" s="1"/>
    </row>
    <row r="81" ht="27.0" customHeight="1">
      <c r="A81" s="1" t="s">
        <v>297</v>
      </c>
      <c r="B81" s="1" t="s">
        <v>537</v>
      </c>
      <c r="C81" s="4" t="s">
        <v>538</v>
      </c>
      <c r="D81" s="1">
        <v>8.8025516576E11</v>
      </c>
      <c r="E81" s="1" t="s">
        <v>539</v>
      </c>
      <c r="F81" s="1">
        <v>1998.0</v>
      </c>
      <c r="G81" s="1" t="s">
        <v>540</v>
      </c>
      <c r="H81" s="1" t="s">
        <v>541</v>
      </c>
      <c r="I81" s="5" t="s">
        <v>542</v>
      </c>
      <c r="J81" s="5" t="s">
        <v>543</v>
      </c>
      <c r="K81" s="1" t="s">
        <v>40</v>
      </c>
      <c r="L81" s="1" t="s">
        <v>40</v>
      </c>
      <c r="M81" s="1" t="s">
        <v>40</v>
      </c>
      <c r="N81" s="1" t="s">
        <v>40</v>
      </c>
      <c r="O81" s="3" t="s">
        <v>305</v>
      </c>
      <c r="P81" s="1"/>
      <c r="Q81" s="1"/>
      <c r="R81" s="1"/>
      <c r="S81" s="1"/>
      <c r="T81" s="1"/>
      <c r="U81" s="1"/>
      <c r="V81" s="1"/>
      <c r="W81" s="1"/>
      <c r="X81" s="1"/>
      <c r="Y81" s="1"/>
      <c r="Z81" s="1"/>
    </row>
    <row r="82" ht="27.0" customHeight="1">
      <c r="A82" s="1" t="s">
        <v>297</v>
      </c>
      <c r="B82" s="1" t="s">
        <v>544</v>
      </c>
      <c r="C82" s="4" t="s">
        <v>545</v>
      </c>
      <c r="D82" s="1">
        <v>8.8032162621E10</v>
      </c>
      <c r="E82" s="1" t="s">
        <v>546</v>
      </c>
      <c r="F82" s="1">
        <v>2008.0</v>
      </c>
      <c r="G82" s="1" t="s">
        <v>547</v>
      </c>
      <c r="H82" s="1" t="s">
        <v>548</v>
      </c>
      <c r="I82" s="5" t="s">
        <v>549</v>
      </c>
      <c r="J82" s="5" t="s">
        <v>304</v>
      </c>
      <c r="K82" s="1">
        <v>70.0</v>
      </c>
      <c r="L82" s="1">
        <v>70.0</v>
      </c>
      <c r="M82" s="1" t="s">
        <v>40</v>
      </c>
      <c r="N82" s="1" t="s">
        <v>40</v>
      </c>
      <c r="O82" s="3" t="s">
        <v>305</v>
      </c>
      <c r="P82" s="1"/>
      <c r="Q82" s="1"/>
      <c r="R82" s="1"/>
      <c r="S82" s="1"/>
      <c r="T82" s="1"/>
      <c r="U82" s="1"/>
      <c r="V82" s="1"/>
      <c r="W82" s="1"/>
      <c r="X82" s="1"/>
      <c r="Y82" s="1"/>
      <c r="Z82" s="1"/>
    </row>
    <row r="83" ht="27.0" customHeight="1">
      <c r="A83" s="1" t="s">
        <v>550</v>
      </c>
      <c r="B83" s="1" t="s">
        <v>551</v>
      </c>
      <c r="C83" s="4" t="s">
        <v>552</v>
      </c>
      <c r="D83" s="1">
        <f>+8801716662421</f>
        <v>8801716662421</v>
      </c>
      <c r="E83" s="1" t="s">
        <v>553</v>
      </c>
      <c r="F83" s="1">
        <v>2006.0</v>
      </c>
      <c r="G83" s="1" t="s">
        <v>449</v>
      </c>
      <c r="H83" s="1" t="s">
        <v>554</v>
      </c>
      <c r="I83" s="5" t="s">
        <v>555</v>
      </c>
      <c r="J83" s="5" t="s">
        <v>556</v>
      </c>
      <c r="K83" s="1">
        <v>431.0</v>
      </c>
      <c r="L83" s="1">
        <v>431.0</v>
      </c>
      <c r="M83" s="1">
        <v>0.0</v>
      </c>
      <c r="N83" s="1">
        <v>0.0</v>
      </c>
      <c r="O83" s="3" t="s">
        <v>305</v>
      </c>
      <c r="P83" s="1"/>
      <c r="Q83" s="1"/>
      <c r="R83" s="1"/>
      <c r="S83" s="1"/>
      <c r="T83" s="1"/>
      <c r="U83" s="1"/>
      <c r="V83" s="1"/>
      <c r="W83" s="1"/>
      <c r="X83" s="1"/>
      <c r="Y83" s="1"/>
      <c r="Z83" s="1"/>
    </row>
    <row r="84" ht="27.0" customHeight="1">
      <c r="A84" s="1" t="s">
        <v>550</v>
      </c>
      <c r="B84" s="1" t="s">
        <v>557</v>
      </c>
      <c r="C84" s="4" t="s">
        <v>558</v>
      </c>
      <c r="D84" s="1">
        <f>+880244814006</f>
        <v>880244814006</v>
      </c>
      <c r="E84" s="1" t="s">
        <v>559</v>
      </c>
      <c r="F84" s="1">
        <v>2001.0</v>
      </c>
      <c r="G84" s="1" t="s">
        <v>560</v>
      </c>
      <c r="H84" s="1" t="s">
        <v>561</v>
      </c>
      <c r="I84" s="5" t="s">
        <v>562</v>
      </c>
      <c r="J84" s="5" t="s">
        <v>556</v>
      </c>
      <c r="K84" s="1">
        <v>705.0</v>
      </c>
      <c r="L84" s="1">
        <v>705.0</v>
      </c>
      <c r="M84" s="1">
        <v>0.0</v>
      </c>
      <c r="N84" s="1">
        <v>0.0</v>
      </c>
      <c r="O84" s="3" t="s">
        <v>563</v>
      </c>
      <c r="P84" s="1"/>
      <c r="Q84" s="1"/>
      <c r="R84" s="1"/>
      <c r="S84" s="1"/>
      <c r="T84" s="1"/>
      <c r="U84" s="1"/>
      <c r="V84" s="1"/>
      <c r="W84" s="1"/>
      <c r="X84" s="1"/>
      <c r="Y84" s="1"/>
      <c r="Z84" s="1"/>
    </row>
    <row r="85" ht="27.0" customHeight="1">
      <c r="A85" s="1" t="s">
        <v>550</v>
      </c>
      <c r="B85" s="1" t="s">
        <v>564</v>
      </c>
      <c r="C85" s="4" t="s">
        <v>565</v>
      </c>
      <c r="D85" s="1">
        <f>+8809611678921</f>
        <v>8809611678921</v>
      </c>
      <c r="E85" s="1" t="s">
        <v>566</v>
      </c>
      <c r="F85" s="1">
        <v>2021.0</v>
      </c>
      <c r="G85" s="1" t="s">
        <v>567</v>
      </c>
      <c r="H85" s="1" t="s">
        <v>568</v>
      </c>
      <c r="I85" s="5" t="s">
        <v>569</v>
      </c>
      <c r="J85" s="5" t="s">
        <v>556</v>
      </c>
      <c r="K85" s="1">
        <v>82.0</v>
      </c>
      <c r="L85" s="1">
        <v>82.0</v>
      </c>
      <c r="M85" s="1">
        <v>0.0</v>
      </c>
      <c r="N85" s="1">
        <v>0.0</v>
      </c>
      <c r="O85" s="3" t="s">
        <v>563</v>
      </c>
      <c r="P85" s="1"/>
      <c r="Q85" s="1"/>
      <c r="R85" s="1"/>
      <c r="S85" s="1"/>
      <c r="T85" s="1"/>
      <c r="U85" s="1"/>
      <c r="V85" s="1"/>
      <c r="W85" s="1"/>
      <c r="X85" s="1"/>
      <c r="Y85" s="1"/>
      <c r="Z85" s="1"/>
    </row>
    <row r="86" ht="27.0" customHeight="1">
      <c r="A86" s="1" t="s">
        <v>550</v>
      </c>
      <c r="B86" s="1" t="s">
        <v>570</v>
      </c>
      <c r="C86" s="4" t="s">
        <v>571</v>
      </c>
      <c r="D86" s="1">
        <f>+8801309000313</f>
        <v>8801309000313</v>
      </c>
      <c r="E86" s="1" t="s">
        <v>572</v>
      </c>
      <c r="F86" s="1">
        <v>2015.0</v>
      </c>
      <c r="G86" s="1" t="s">
        <v>573</v>
      </c>
      <c r="H86" s="1" t="s">
        <v>574</v>
      </c>
      <c r="I86" s="5" t="s">
        <v>575</v>
      </c>
      <c r="J86" s="5" t="s">
        <v>556</v>
      </c>
      <c r="K86" s="1">
        <v>150.0</v>
      </c>
      <c r="L86" s="1">
        <v>150.0</v>
      </c>
      <c r="M86" s="1">
        <v>0.0</v>
      </c>
      <c r="N86" s="1">
        <v>0.0</v>
      </c>
      <c r="O86" s="3" t="s">
        <v>563</v>
      </c>
      <c r="P86" s="1"/>
      <c r="Q86" s="1"/>
      <c r="R86" s="1"/>
      <c r="S86" s="1"/>
      <c r="T86" s="1"/>
      <c r="U86" s="1"/>
      <c r="V86" s="1"/>
      <c r="W86" s="1"/>
      <c r="X86" s="1"/>
      <c r="Y86" s="1"/>
      <c r="Z86" s="1"/>
    </row>
    <row r="87" ht="27.0" customHeight="1">
      <c r="A87" s="1" t="s">
        <v>550</v>
      </c>
      <c r="B87" s="1" t="s">
        <v>576</v>
      </c>
      <c r="C87" s="4" t="s">
        <v>577</v>
      </c>
      <c r="D87" s="1">
        <f>+8801326890712</f>
        <v>8801326890712</v>
      </c>
      <c r="E87" s="1" t="s">
        <v>578</v>
      </c>
      <c r="F87" s="1">
        <v>2021.0</v>
      </c>
      <c r="G87" s="1" t="s">
        <v>579</v>
      </c>
      <c r="H87" s="1" t="s">
        <v>580</v>
      </c>
      <c r="I87" s="5" t="s">
        <v>581</v>
      </c>
      <c r="J87" s="5" t="s">
        <v>556</v>
      </c>
      <c r="K87" s="1">
        <v>90.0</v>
      </c>
      <c r="L87" s="1">
        <v>90.0</v>
      </c>
      <c r="M87" s="1">
        <v>0.0</v>
      </c>
      <c r="N87" s="1">
        <v>0.0</v>
      </c>
      <c r="O87" s="3" t="s">
        <v>563</v>
      </c>
      <c r="P87" s="1"/>
      <c r="Q87" s="1"/>
      <c r="R87" s="1"/>
      <c r="S87" s="1"/>
      <c r="T87" s="1"/>
      <c r="U87" s="1"/>
      <c r="V87" s="1"/>
      <c r="W87" s="1"/>
      <c r="X87" s="1"/>
      <c r="Y87" s="1"/>
      <c r="Z87" s="1"/>
    </row>
    <row r="88" ht="27.0" customHeight="1">
      <c r="A88" s="1" t="s">
        <v>550</v>
      </c>
      <c r="B88" s="1" t="s">
        <v>582</v>
      </c>
      <c r="C88" s="4" t="s">
        <v>583</v>
      </c>
      <c r="D88" s="1">
        <f>+8802334466153</f>
        <v>8802334466153</v>
      </c>
      <c r="E88" s="1" t="s">
        <v>584</v>
      </c>
      <c r="F88" s="1">
        <v>2006.0</v>
      </c>
      <c r="G88" s="1" t="s">
        <v>585</v>
      </c>
      <c r="H88" s="1" t="s">
        <v>586</v>
      </c>
      <c r="I88" s="5" t="s">
        <v>587</v>
      </c>
      <c r="J88" s="5" t="s">
        <v>556</v>
      </c>
      <c r="K88" s="1">
        <v>275.0</v>
      </c>
      <c r="L88" s="1">
        <v>275.0</v>
      </c>
      <c r="M88" s="1">
        <v>0.0</v>
      </c>
      <c r="N88" s="1">
        <v>0.0</v>
      </c>
      <c r="O88" s="3" t="s">
        <v>563</v>
      </c>
      <c r="P88" s="1"/>
      <c r="Q88" s="1"/>
      <c r="R88" s="1"/>
      <c r="S88" s="1"/>
      <c r="T88" s="1"/>
      <c r="U88" s="1"/>
      <c r="V88" s="1"/>
      <c r="W88" s="1"/>
      <c r="X88" s="1"/>
      <c r="Y88" s="1"/>
      <c r="Z88" s="1"/>
    </row>
    <row r="89" ht="27.0" customHeight="1">
      <c r="A89" s="1" t="s">
        <v>550</v>
      </c>
      <c r="B89" s="1" t="s">
        <v>588</v>
      </c>
      <c r="C89" s="4" t="s">
        <v>589</v>
      </c>
      <c r="D89" s="1">
        <f>+8801711854471</f>
        <v>8801711854471</v>
      </c>
      <c r="E89" s="1" t="s">
        <v>590</v>
      </c>
      <c r="F89" s="1">
        <v>1961.0</v>
      </c>
      <c r="G89" s="1" t="s">
        <v>591</v>
      </c>
      <c r="H89" s="1" t="s">
        <v>592</v>
      </c>
      <c r="I89" s="5" t="s">
        <v>593</v>
      </c>
      <c r="J89" s="5" t="s">
        <v>556</v>
      </c>
      <c r="K89" s="1">
        <v>1006.0</v>
      </c>
      <c r="L89" s="1">
        <v>1006.0</v>
      </c>
      <c r="M89" s="1">
        <v>0.0</v>
      </c>
      <c r="N89" s="1">
        <v>0.0</v>
      </c>
      <c r="O89" s="3" t="s">
        <v>563</v>
      </c>
      <c r="P89" s="1"/>
      <c r="Q89" s="1"/>
      <c r="R89" s="1"/>
      <c r="S89" s="1"/>
      <c r="T89" s="1"/>
      <c r="U89" s="1"/>
      <c r="V89" s="1"/>
      <c r="W89" s="1"/>
      <c r="X89" s="1"/>
      <c r="Y89" s="1"/>
      <c r="Z89" s="1"/>
    </row>
    <row r="90" ht="27.0" customHeight="1">
      <c r="A90" s="1" t="s">
        <v>550</v>
      </c>
      <c r="B90" s="1" t="s">
        <v>594</v>
      </c>
      <c r="C90" s="4" t="s">
        <v>595</v>
      </c>
      <c r="D90" s="1">
        <f>+88029205310</f>
        <v>88029205310</v>
      </c>
      <c r="E90" s="1" t="s">
        <v>596</v>
      </c>
      <c r="F90" s="1">
        <v>1998.0</v>
      </c>
      <c r="G90" s="1" t="s">
        <v>597</v>
      </c>
      <c r="H90" s="1" t="s">
        <v>598</v>
      </c>
      <c r="I90" s="5" t="s">
        <v>599</v>
      </c>
      <c r="J90" s="5" t="s">
        <v>556</v>
      </c>
      <c r="K90" s="1">
        <v>510.0</v>
      </c>
      <c r="L90" s="1">
        <v>510.0</v>
      </c>
      <c r="M90" s="1">
        <v>0.0</v>
      </c>
      <c r="N90" s="1">
        <v>0.0</v>
      </c>
      <c r="O90" s="3" t="s">
        <v>563</v>
      </c>
      <c r="P90" s="1"/>
      <c r="Q90" s="1"/>
      <c r="R90" s="1"/>
      <c r="S90" s="1"/>
      <c r="T90" s="1"/>
      <c r="U90" s="1"/>
      <c r="V90" s="1"/>
      <c r="W90" s="1"/>
      <c r="X90" s="1"/>
      <c r="Y90" s="1"/>
      <c r="Z90" s="1"/>
    </row>
    <row r="91" ht="27.0" customHeight="1">
      <c r="A91" s="1" t="s">
        <v>600</v>
      </c>
      <c r="B91" s="1" t="s">
        <v>601</v>
      </c>
      <c r="C91" s="4" t="s">
        <v>602</v>
      </c>
      <c r="D91" s="1">
        <f>+8801769024054</f>
        <v>8801769024054</v>
      </c>
      <c r="E91" s="1" t="s">
        <v>603</v>
      </c>
      <c r="F91" s="1">
        <v>1998.0</v>
      </c>
      <c r="G91" s="1" t="s">
        <v>604</v>
      </c>
      <c r="H91" s="1" t="s">
        <v>605</v>
      </c>
      <c r="I91" s="5" t="s">
        <v>606</v>
      </c>
      <c r="J91" s="5" t="s">
        <v>607</v>
      </c>
      <c r="K91" s="1">
        <v>570.0</v>
      </c>
      <c r="L91" s="1">
        <v>570.0</v>
      </c>
      <c r="M91" s="1">
        <v>0.0</v>
      </c>
      <c r="N91" s="1">
        <v>0.0</v>
      </c>
      <c r="O91" s="3" t="s">
        <v>563</v>
      </c>
      <c r="P91" s="1"/>
      <c r="Q91" s="1"/>
      <c r="R91" s="1"/>
      <c r="S91" s="1"/>
      <c r="T91" s="1"/>
      <c r="U91" s="1"/>
      <c r="V91" s="1"/>
      <c r="W91" s="1"/>
      <c r="X91" s="1"/>
      <c r="Y91" s="1"/>
      <c r="Z91" s="1"/>
    </row>
    <row r="92" ht="27.0" customHeight="1">
      <c r="A92" s="1" t="s">
        <v>600</v>
      </c>
      <c r="B92" s="1" t="s">
        <v>608</v>
      </c>
      <c r="C92" s="4" t="s">
        <v>609</v>
      </c>
      <c r="D92" s="1">
        <f>+8809666790790</f>
        <v>8809666790790</v>
      </c>
      <c r="E92" s="1" t="s">
        <v>610</v>
      </c>
      <c r="F92" s="1">
        <v>2008.0</v>
      </c>
      <c r="G92" s="1" t="s">
        <v>604</v>
      </c>
      <c r="H92" s="1" t="s">
        <v>611</v>
      </c>
      <c r="I92" s="5" t="s">
        <v>612</v>
      </c>
      <c r="J92" s="5" t="s">
        <v>613</v>
      </c>
      <c r="K92" s="6">
        <v>1485.0</v>
      </c>
      <c r="L92" s="1">
        <v>325.0</v>
      </c>
      <c r="M92" s="1">
        <v>660.0</v>
      </c>
      <c r="N92" s="1">
        <v>500.0</v>
      </c>
      <c r="O92" s="3" t="s">
        <v>614</v>
      </c>
      <c r="P92" s="1"/>
      <c r="Q92" s="1"/>
      <c r="R92" s="1"/>
      <c r="S92" s="1"/>
      <c r="T92" s="1"/>
      <c r="U92" s="1"/>
      <c r="V92" s="1"/>
      <c r="W92" s="1"/>
      <c r="X92" s="1"/>
      <c r="Y92" s="1"/>
      <c r="Z92" s="1"/>
    </row>
    <row r="93" ht="27.0" customHeight="1">
      <c r="A93" s="1" t="s">
        <v>600</v>
      </c>
      <c r="B93" s="9" t="s">
        <v>615</v>
      </c>
      <c r="C93" s="4" t="s">
        <v>616</v>
      </c>
      <c r="D93" s="9">
        <v>8.801769701111E12</v>
      </c>
      <c r="E93" s="9" t="s">
        <v>617</v>
      </c>
      <c r="F93" s="9">
        <v>1976.0</v>
      </c>
      <c r="G93" s="9" t="s">
        <v>618</v>
      </c>
      <c r="H93" s="9" t="s">
        <v>619</v>
      </c>
      <c r="I93" s="11" t="s">
        <v>620</v>
      </c>
      <c r="J93" s="11" t="s">
        <v>621</v>
      </c>
      <c r="K93" s="9">
        <v>120.0</v>
      </c>
      <c r="L93" s="9">
        <v>120.0</v>
      </c>
      <c r="M93" s="9" t="s">
        <v>40</v>
      </c>
      <c r="N93" s="9" t="s">
        <v>40</v>
      </c>
      <c r="O93" s="3" t="s">
        <v>614</v>
      </c>
      <c r="P93" s="3"/>
      <c r="Q93" s="3"/>
      <c r="R93" s="3"/>
      <c r="S93" s="3"/>
      <c r="T93" s="3"/>
      <c r="U93" s="3"/>
      <c r="V93" s="3"/>
      <c r="W93" s="3"/>
      <c r="X93" s="3"/>
      <c r="Y93" s="3"/>
      <c r="Z93" s="3"/>
    </row>
    <row r="94" ht="27.0" customHeight="1">
      <c r="A94" s="1" t="s">
        <v>600</v>
      </c>
      <c r="B94" s="9" t="s">
        <v>622</v>
      </c>
      <c r="C94" s="4" t="s">
        <v>623</v>
      </c>
      <c r="D94" s="9">
        <v>8.801769994318E12</v>
      </c>
      <c r="E94" s="9" t="s">
        <v>624</v>
      </c>
      <c r="F94" s="9">
        <v>1974.0</v>
      </c>
      <c r="G94" s="9" t="s">
        <v>625</v>
      </c>
      <c r="H94" s="9" t="s">
        <v>626</v>
      </c>
      <c r="I94" s="11" t="s">
        <v>627</v>
      </c>
      <c r="J94" s="11" t="s">
        <v>628</v>
      </c>
      <c r="K94" s="9">
        <v>150.0</v>
      </c>
      <c r="L94" s="9">
        <v>150.0</v>
      </c>
      <c r="M94" s="9" t="s">
        <v>40</v>
      </c>
      <c r="N94" s="9" t="s">
        <v>40</v>
      </c>
      <c r="O94" s="3" t="s">
        <v>614</v>
      </c>
      <c r="P94" s="3"/>
      <c r="Q94" s="3"/>
      <c r="R94" s="3"/>
      <c r="S94" s="3"/>
      <c r="T94" s="3"/>
      <c r="U94" s="3"/>
      <c r="V94" s="3"/>
      <c r="W94" s="3"/>
      <c r="X94" s="3"/>
      <c r="Y94" s="3"/>
      <c r="Z94" s="3"/>
    </row>
    <row r="95" ht="27.0" customHeight="1">
      <c r="A95" s="1" t="s">
        <v>600</v>
      </c>
      <c r="B95" s="9" t="s">
        <v>629</v>
      </c>
      <c r="C95" s="4" t="s">
        <v>630</v>
      </c>
      <c r="D95" s="9">
        <v>8.801769176191E12</v>
      </c>
      <c r="E95" s="9" t="s">
        <v>631</v>
      </c>
      <c r="F95" s="9">
        <v>2015.0</v>
      </c>
      <c r="G95" s="9" t="s">
        <v>632</v>
      </c>
      <c r="H95" s="9" t="s">
        <v>633</v>
      </c>
      <c r="I95" s="11" t="s">
        <v>634</v>
      </c>
      <c r="J95" s="11" t="s">
        <v>635</v>
      </c>
      <c r="K95" s="9">
        <v>120.0</v>
      </c>
      <c r="L95" s="9" t="s">
        <v>40</v>
      </c>
      <c r="M95" s="9" t="s">
        <v>40</v>
      </c>
      <c r="N95" s="9">
        <v>120.0</v>
      </c>
      <c r="O95" s="3" t="s">
        <v>614</v>
      </c>
      <c r="P95" s="3"/>
      <c r="Q95" s="3"/>
      <c r="R95" s="3"/>
      <c r="S95" s="3"/>
      <c r="T95" s="3"/>
      <c r="U95" s="3"/>
      <c r="V95" s="3"/>
      <c r="W95" s="3"/>
      <c r="X95" s="3"/>
      <c r="Y95" s="3"/>
      <c r="Z95" s="3"/>
    </row>
    <row r="96" ht="27.0" customHeight="1">
      <c r="A96" s="1" t="s">
        <v>600</v>
      </c>
      <c r="B96" s="9" t="s">
        <v>636</v>
      </c>
      <c r="C96" s="4" t="s">
        <v>637</v>
      </c>
      <c r="D96" s="9">
        <v>8.801769091572E12</v>
      </c>
      <c r="E96" s="9" t="s">
        <v>638</v>
      </c>
      <c r="F96" s="9">
        <v>2015.0</v>
      </c>
      <c r="G96" s="9" t="s">
        <v>639</v>
      </c>
      <c r="H96" s="9" t="s">
        <v>640</v>
      </c>
      <c r="I96" s="11" t="s">
        <v>641</v>
      </c>
      <c r="J96" s="11" t="s">
        <v>642</v>
      </c>
      <c r="K96" s="9">
        <v>120.0</v>
      </c>
      <c r="L96" s="9" t="s">
        <v>40</v>
      </c>
      <c r="M96" s="9" t="s">
        <v>40</v>
      </c>
      <c r="N96" s="9">
        <v>120.0</v>
      </c>
      <c r="O96" s="3" t="s">
        <v>614</v>
      </c>
      <c r="P96" s="3"/>
      <c r="Q96" s="3"/>
      <c r="R96" s="3"/>
      <c r="S96" s="3"/>
      <c r="T96" s="3"/>
      <c r="U96" s="3"/>
      <c r="V96" s="3"/>
      <c r="W96" s="3"/>
      <c r="X96" s="3"/>
      <c r="Y96" s="3"/>
      <c r="Z96" s="3"/>
    </row>
    <row r="97" ht="27.0" customHeight="1">
      <c r="A97" s="1" t="s">
        <v>600</v>
      </c>
      <c r="B97" s="1" t="s">
        <v>643</v>
      </c>
      <c r="C97" s="4" t="s">
        <v>644</v>
      </c>
      <c r="D97" s="1">
        <f>+8801769724220</f>
        <v>8801769724220</v>
      </c>
      <c r="E97" s="1" t="s">
        <v>645</v>
      </c>
      <c r="F97" s="1">
        <v>2025.0</v>
      </c>
      <c r="G97" s="1" t="s">
        <v>646</v>
      </c>
      <c r="H97" s="1" t="s">
        <v>647</v>
      </c>
      <c r="I97" s="5" t="s">
        <v>648</v>
      </c>
      <c r="J97" s="5" t="s">
        <v>649</v>
      </c>
      <c r="K97" s="1">
        <v>50.0</v>
      </c>
      <c r="L97" s="1">
        <v>50.0</v>
      </c>
      <c r="M97" s="1">
        <v>0.0</v>
      </c>
      <c r="N97" s="1">
        <v>0.0</v>
      </c>
      <c r="O97" s="3" t="s">
        <v>614</v>
      </c>
      <c r="P97" s="1"/>
      <c r="Q97" s="1"/>
      <c r="R97" s="1"/>
      <c r="S97" s="1"/>
      <c r="T97" s="1"/>
      <c r="U97" s="1"/>
      <c r="V97" s="1"/>
      <c r="W97" s="1"/>
      <c r="X97" s="1"/>
      <c r="Y97" s="1"/>
      <c r="Z97" s="1"/>
    </row>
    <row r="98" ht="27.0" customHeight="1">
      <c r="A98" s="1" t="s">
        <v>600</v>
      </c>
      <c r="B98" s="1" t="s">
        <v>650</v>
      </c>
      <c r="C98" s="4" t="s">
        <v>651</v>
      </c>
      <c r="D98" s="1">
        <f>+8801769665659</f>
        <v>8801769665659</v>
      </c>
      <c r="E98" s="1" t="s">
        <v>652</v>
      </c>
      <c r="F98" s="1">
        <v>2015.0</v>
      </c>
      <c r="G98" s="1" t="s">
        <v>653</v>
      </c>
      <c r="H98" s="1" t="s">
        <v>654</v>
      </c>
      <c r="I98" s="5" t="s">
        <v>655</v>
      </c>
      <c r="J98" s="5" t="s">
        <v>656</v>
      </c>
      <c r="K98" s="1">
        <v>50.0</v>
      </c>
      <c r="L98" s="1">
        <v>50.0</v>
      </c>
      <c r="M98" s="1">
        <v>0.0</v>
      </c>
      <c r="N98" s="1">
        <v>0.0</v>
      </c>
      <c r="O98" s="3" t="s">
        <v>657</v>
      </c>
      <c r="P98" s="1"/>
      <c r="Q98" s="1"/>
      <c r="R98" s="1"/>
      <c r="S98" s="1"/>
      <c r="T98" s="1"/>
      <c r="U98" s="1"/>
      <c r="V98" s="1"/>
      <c r="W98" s="1"/>
      <c r="X98" s="1"/>
      <c r="Y98" s="1"/>
      <c r="Z98" s="1"/>
    </row>
    <row r="99" ht="27.0" customHeight="1">
      <c r="A99" s="1" t="s">
        <v>600</v>
      </c>
      <c r="B99" s="1" t="s">
        <v>658</v>
      </c>
      <c r="C99" s="4" t="s">
        <v>659</v>
      </c>
      <c r="D99" s="1">
        <f>+8801769558310</f>
        <v>8801769558310</v>
      </c>
      <c r="E99" s="1" t="s">
        <v>660</v>
      </c>
      <c r="F99" s="1">
        <v>2015.0</v>
      </c>
      <c r="G99" s="1" t="s">
        <v>661</v>
      </c>
      <c r="H99" s="1" t="s">
        <v>662</v>
      </c>
      <c r="I99" s="5" t="s">
        <v>663</v>
      </c>
      <c r="J99" s="5" t="s">
        <v>664</v>
      </c>
      <c r="K99" s="1">
        <v>50.0</v>
      </c>
      <c r="L99" s="1">
        <v>50.0</v>
      </c>
      <c r="M99" s="1">
        <v>0.0</v>
      </c>
      <c r="N99" s="1">
        <v>0.0</v>
      </c>
      <c r="O99" s="3" t="s">
        <v>657</v>
      </c>
      <c r="P99" s="1"/>
      <c r="Q99" s="1"/>
      <c r="R99" s="1"/>
      <c r="S99" s="1"/>
      <c r="T99" s="1"/>
      <c r="U99" s="1"/>
      <c r="V99" s="1"/>
      <c r="W99" s="1"/>
      <c r="X99" s="1"/>
      <c r="Y99" s="1"/>
      <c r="Z99" s="1"/>
    </row>
    <row r="100" ht="27.0" customHeight="1">
      <c r="A100" s="1" t="s">
        <v>600</v>
      </c>
      <c r="B100" s="1" t="s">
        <v>665</v>
      </c>
      <c r="C100" s="4" t="s">
        <v>666</v>
      </c>
      <c r="D100" s="1">
        <f>+8801769330502</f>
        <v>8801769330502</v>
      </c>
      <c r="E100" s="1" t="s">
        <v>667</v>
      </c>
      <c r="F100" s="1">
        <v>2015.0</v>
      </c>
      <c r="G100" s="1" t="s">
        <v>668</v>
      </c>
      <c r="H100" s="1" t="s">
        <v>669</v>
      </c>
      <c r="I100" s="5" t="s">
        <v>670</v>
      </c>
      <c r="J100" s="5" t="s">
        <v>671</v>
      </c>
      <c r="K100" s="1">
        <v>50.0</v>
      </c>
      <c r="L100" s="1">
        <v>50.0</v>
      </c>
      <c r="M100" s="1">
        <v>0.0</v>
      </c>
      <c r="N100" s="1">
        <v>0.0</v>
      </c>
      <c r="O100" s="3" t="s">
        <v>657</v>
      </c>
      <c r="P100" s="1"/>
      <c r="Q100" s="1"/>
      <c r="R100" s="1"/>
      <c r="S100" s="1"/>
      <c r="T100" s="1"/>
      <c r="U100" s="1"/>
      <c r="V100" s="1"/>
      <c r="W100" s="1"/>
      <c r="X100" s="1"/>
      <c r="Y100" s="1"/>
      <c r="Z100" s="1"/>
    </row>
    <row r="101" ht="27.0" customHeight="1">
      <c r="A101" s="1" t="s">
        <v>600</v>
      </c>
      <c r="B101" s="1" t="s">
        <v>672</v>
      </c>
      <c r="C101" s="4" t="s">
        <v>673</v>
      </c>
      <c r="D101" s="1">
        <f>+8801769240225</f>
        <v>8801769240225</v>
      </c>
      <c r="E101" s="1" t="s">
        <v>674</v>
      </c>
      <c r="F101" s="1">
        <v>2015.0</v>
      </c>
      <c r="G101" s="1" t="s">
        <v>675</v>
      </c>
      <c r="H101" s="1" t="s">
        <v>676</v>
      </c>
      <c r="I101" s="5" t="s">
        <v>677</v>
      </c>
      <c r="J101" s="5" t="s">
        <v>678</v>
      </c>
      <c r="K101" s="1">
        <v>50.0</v>
      </c>
      <c r="L101" s="1">
        <v>50.0</v>
      </c>
      <c r="M101" s="1">
        <v>0.0</v>
      </c>
      <c r="N101" s="1">
        <v>0.0</v>
      </c>
      <c r="O101" s="3" t="s">
        <v>657</v>
      </c>
      <c r="P101" s="1"/>
      <c r="Q101" s="1"/>
      <c r="R101" s="1"/>
      <c r="S101" s="1"/>
      <c r="T101" s="1"/>
      <c r="U101" s="1"/>
      <c r="V101" s="1"/>
      <c r="W101" s="1"/>
      <c r="X101" s="1"/>
      <c r="Y101" s="1"/>
      <c r="Z101" s="1"/>
    </row>
    <row r="102" ht="27.0" customHeight="1">
      <c r="A102" s="1" t="s">
        <v>600</v>
      </c>
      <c r="B102" s="1" t="s">
        <v>679</v>
      </c>
      <c r="C102" s="4" t="s">
        <v>680</v>
      </c>
      <c r="D102" s="1">
        <f>+8801769505051</f>
        <v>8801769505051</v>
      </c>
      <c r="E102" s="1" t="s">
        <v>681</v>
      </c>
      <c r="F102" s="1">
        <v>2015.0</v>
      </c>
      <c r="G102" s="1" t="s">
        <v>682</v>
      </c>
      <c r="H102" s="1" t="s">
        <v>683</v>
      </c>
      <c r="I102" s="5" t="s">
        <v>684</v>
      </c>
      <c r="J102" s="5" t="s">
        <v>685</v>
      </c>
      <c r="K102" s="1">
        <v>50.0</v>
      </c>
      <c r="L102" s="1">
        <v>50.0</v>
      </c>
      <c r="M102" s="1">
        <v>0.0</v>
      </c>
      <c r="N102" s="1">
        <v>0.0</v>
      </c>
      <c r="O102" s="3" t="s">
        <v>657</v>
      </c>
      <c r="P102" s="1"/>
      <c r="Q102" s="1"/>
      <c r="R102" s="1"/>
      <c r="S102" s="1"/>
      <c r="T102" s="1"/>
      <c r="U102" s="1"/>
      <c r="V102" s="1"/>
      <c r="W102" s="1"/>
      <c r="X102" s="1"/>
      <c r="Y102" s="1"/>
      <c r="Z102" s="1"/>
    </row>
    <row r="103" ht="27.0" customHeight="1">
      <c r="A103" s="1" t="s">
        <v>600</v>
      </c>
      <c r="B103" s="1" t="s">
        <v>686</v>
      </c>
      <c r="C103" s="4" t="s">
        <v>687</v>
      </c>
      <c r="D103" s="1">
        <f>+8801769013000</f>
        <v>8801769013000</v>
      </c>
      <c r="E103" s="1" t="s">
        <v>688</v>
      </c>
      <c r="F103" s="1">
        <v>1999.0</v>
      </c>
      <c r="G103" s="1" t="s">
        <v>689</v>
      </c>
      <c r="H103" s="1" t="s">
        <v>690</v>
      </c>
      <c r="I103" s="5" t="s">
        <v>691</v>
      </c>
      <c r="J103" s="5" t="s">
        <v>685</v>
      </c>
      <c r="K103" s="1">
        <v>125.0</v>
      </c>
      <c r="L103" s="1">
        <v>125.0</v>
      </c>
      <c r="M103" s="1">
        <v>0.0</v>
      </c>
      <c r="N103" s="1">
        <v>0.0</v>
      </c>
      <c r="O103" s="3" t="s">
        <v>657</v>
      </c>
      <c r="P103" s="1"/>
      <c r="Q103" s="1"/>
      <c r="R103" s="1"/>
      <c r="S103" s="1"/>
      <c r="T103" s="1"/>
      <c r="U103" s="1"/>
      <c r="V103" s="1"/>
      <c r="W103" s="1"/>
      <c r="X103" s="1"/>
      <c r="Y103" s="1"/>
      <c r="Z103" s="1"/>
    </row>
    <row r="104" ht="27.0" customHeight="1">
      <c r="A104" s="1" t="s">
        <v>692</v>
      </c>
      <c r="B104" s="1" t="s">
        <v>693</v>
      </c>
      <c r="C104" s="4" t="s">
        <v>694</v>
      </c>
      <c r="D104" s="1">
        <f t="shared" ref="D104:D110" si="1">+8801335114909</f>
        <v>8801335114909</v>
      </c>
      <c r="E104" s="1" t="s">
        <v>695</v>
      </c>
      <c r="F104" s="1">
        <v>1841.0</v>
      </c>
      <c r="G104" s="1" t="s">
        <v>696</v>
      </c>
      <c r="H104" s="1" t="s">
        <v>697</v>
      </c>
      <c r="I104" s="5" t="s">
        <v>698</v>
      </c>
      <c r="J104" s="5" t="s">
        <v>699</v>
      </c>
      <c r="K104" s="1">
        <v>3515.0</v>
      </c>
      <c r="L104" s="1">
        <v>870.0</v>
      </c>
      <c r="M104" s="1">
        <v>1815.0</v>
      </c>
      <c r="N104" s="1">
        <v>830.0</v>
      </c>
      <c r="O104" s="3" t="s">
        <v>657</v>
      </c>
      <c r="P104" s="1"/>
      <c r="Q104" s="1"/>
      <c r="R104" s="1"/>
      <c r="S104" s="1"/>
      <c r="T104" s="1"/>
      <c r="U104" s="1"/>
      <c r="V104" s="1"/>
      <c r="W104" s="1"/>
      <c r="X104" s="1"/>
      <c r="Y104" s="1"/>
      <c r="Z104" s="1"/>
    </row>
    <row r="105" ht="27.0" customHeight="1">
      <c r="A105" s="1" t="s">
        <v>692</v>
      </c>
      <c r="B105" s="1" t="s">
        <v>700</v>
      </c>
      <c r="C105" s="4" t="s">
        <v>701</v>
      </c>
      <c r="D105" s="1">
        <f t="shared" si="1"/>
        <v>8801335114909</v>
      </c>
      <c r="E105" s="1" t="s">
        <v>702</v>
      </c>
      <c r="F105" s="1">
        <v>1873.0</v>
      </c>
      <c r="G105" s="1" t="s">
        <v>703</v>
      </c>
      <c r="H105" s="1" t="s">
        <v>704</v>
      </c>
      <c r="I105" s="5" t="s">
        <v>705</v>
      </c>
      <c r="J105" s="5" t="s">
        <v>699</v>
      </c>
      <c r="K105" s="1">
        <v>4685.0</v>
      </c>
      <c r="L105" s="1">
        <v>1140.0</v>
      </c>
      <c r="M105" s="1">
        <v>2510.0</v>
      </c>
      <c r="N105" s="1">
        <v>1035.0</v>
      </c>
      <c r="O105" s="3" t="s">
        <v>706</v>
      </c>
      <c r="P105" s="1"/>
      <c r="Q105" s="1"/>
      <c r="R105" s="1"/>
      <c r="S105" s="1"/>
      <c r="T105" s="1"/>
      <c r="U105" s="1"/>
      <c r="V105" s="1"/>
      <c r="W105" s="1"/>
      <c r="X105" s="1"/>
      <c r="Y105" s="1"/>
      <c r="Z105" s="1"/>
    </row>
    <row r="106" ht="27.0" customHeight="1">
      <c r="A106" s="1" t="s">
        <v>692</v>
      </c>
      <c r="B106" s="1" t="s">
        <v>707</v>
      </c>
      <c r="C106" s="4" t="s">
        <v>708</v>
      </c>
      <c r="D106" s="1">
        <f t="shared" si="1"/>
        <v>8801335114909</v>
      </c>
      <c r="E106" s="1" t="s">
        <v>709</v>
      </c>
      <c r="F106" s="1">
        <v>1874.0</v>
      </c>
      <c r="G106" s="1" t="s">
        <v>710</v>
      </c>
      <c r="H106" s="1" t="s">
        <v>711</v>
      </c>
      <c r="I106" s="5" t="s">
        <v>712</v>
      </c>
      <c r="J106" s="5" t="s">
        <v>699</v>
      </c>
      <c r="K106" s="1">
        <v>1520.0</v>
      </c>
      <c r="L106" s="1">
        <v>560.0</v>
      </c>
      <c r="M106" s="1">
        <v>660.0</v>
      </c>
      <c r="N106" s="1">
        <v>300.0</v>
      </c>
      <c r="O106" s="3" t="s">
        <v>706</v>
      </c>
      <c r="P106" s="1"/>
      <c r="Q106" s="1"/>
      <c r="R106" s="1"/>
      <c r="S106" s="1"/>
      <c r="T106" s="1"/>
      <c r="U106" s="1"/>
      <c r="V106" s="1"/>
      <c r="W106" s="1"/>
      <c r="X106" s="1"/>
      <c r="Y106" s="1"/>
      <c r="Z106" s="1"/>
    </row>
    <row r="107" ht="27.0" customHeight="1">
      <c r="A107" s="1" t="s">
        <v>692</v>
      </c>
      <c r="B107" s="1" t="s">
        <v>713</v>
      </c>
      <c r="C107" s="4" t="s">
        <v>714</v>
      </c>
      <c r="D107" s="1">
        <f t="shared" si="1"/>
        <v>8801335114909</v>
      </c>
      <c r="E107" s="1" t="s">
        <v>715</v>
      </c>
      <c r="F107" s="1">
        <v>1968.0</v>
      </c>
      <c r="G107" s="1" t="s">
        <v>716</v>
      </c>
      <c r="H107" s="1" t="s">
        <v>717</v>
      </c>
      <c r="I107" s="5" t="s">
        <v>718</v>
      </c>
      <c r="J107" s="5" t="s">
        <v>699</v>
      </c>
      <c r="K107" s="1">
        <v>5680.0</v>
      </c>
      <c r="L107" s="1">
        <v>1510.0</v>
      </c>
      <c r="M107" s="1">
        <v>3130.0</v>
      </c>
      <c r="N107" s="1">
        <v>1040.0</v>
      </c>
      <c r="O107" s="3" t="s">
        <v>706</v>
      </c>
      <c r="P107" s="1"/>
      <c r="Q107" s="1"/>
      <c r="R107" s="1"/>
      <c r="S107" s="1"/>
      <c r="T107" s="1"/>
      <c r="U107" s="1"/>
      <c r="V107" s="1"/>
      <c r="W107" s="1"/>
      <c r="X107" s="1"/>
      <c r="Y107" s="1"/>
      <c r="Z107" s="1"/>
    </row>
    <row r="108" ht="27.0" customHeight="1">
      <c r="A108" s="1" t="s">
        <v>692</v>
      </c>
      <c r="B108" s="1" t="s">
        <v>719</v>
      </c>
      <c r="C108" s="4" t="s">
        <v>720</v>
      </c>
      <c r="D108" s="1">
        <f t="shared" si="1"/>
        <v>8801335114909</v>
      </c>
      <c r="E108" s="1" t="s">
        <v>721</v>
      </c>
      <c r="F108" s="1">
        <v>1949.0</v>
      </c>
      <c r="G108" s="1" t="s">
        <v>710</v>
      </c>
      <c r="H108" s="1" t="s">
        <v>722</v>
      </c>
      <c r="I108" s="5" t="s">
        <v>723</v>
      </c>
      <c r="J108" s="5" t="s">
        <v>699</v>
      </c>
      <c r="K108" s="1">
        <v>1540.0</v>
      </c>
      <c r="L108" s="1">
        <v>650.0</v>
      </c>
      <c r="M108" s="1">
        <v>590.0</v>
      </c>
      <c r="N108" s="1">
        <v>300.0</v>
      </c>
      <c r="O108" s="3" t="s">
        <v>706</v>
      </c>
      <c r="P108" s="1"/>
      <c r="Q108" s="1"/>
      <c r="R108" s="1"/>
      <c r="S108" s="1"/>
      <c r="T108" s="1"/>
      <c r="U108" s="1"/>
      <c r="V108" s="1"/>
      <c r="W108" s="1"/>
      <c r="X108" s="1"/>
      <c r="Y108" s="1"/>
      <c r="Z108" s="1"/>
    </row>
    <row r="109" ht="27.0" customHeight="1">
      <c r="A109" s="1" t="s">
        <v>692</v>
      </c>
      <c r="B109" s="1" t="s">
        <v>724</v>
      </c>
      <c r="C109" s="4" t="s">
        <v>725</v>
      </c>
      <c r="D109" s="1">
        <f t="shared" si="1"/>
        <v>8801335114909</v>
      </c>
      <c r="E109" s="1" t="s">
        <v>726</v>
      </c>
      <c r="F109" s="1">
        <v>1962.0</v>
      </c>
      <c r="G109" s="1" t="s">
        <v>727</v>
      </c>
      <c r="H109" s="1" t="s">
        <v>728</v>
      </c>
      <c r="I109" s="5" t="s">
        <v>729</v>
      </c>
      <c r="J109" s="5" t="s">
        <v>699</v>
      </c>
      <c r="K109" s="1">
        <v>2580.0</v>
      </c>
      <c r="L109" s="1">
        <v>760.0</v>
      </c>
      <c r="M109" s="1">
        <v>1260.0</v>
      </c>
      <c r="N109" s="1">
        <v>560.0</v>
      </c>
      <c r="O109" s="3" t="s">
        <v>706</v>
      </c>
      <c r="P109" s="1"/>
      <c r="Q109" s="1"/>
      <c r="R109" s="1"/>
      <c r="S109" s="1"/>
      <c r="T109" s="1"/>
      <c r="U109" s="1"/>
      <c r="V109" s="1"/>
      <c r="W109" s="1"/>
      <c r="X109" s="1"/>
      <c r="Y109" s="1"/>
      <c r="Z109" s="1"/>
    </row>
    <row r="110" ht="27.0" customHeight="1">
      <c r="A110" s="1" t="s">
        <v>692</v>
      </c>
      <c r="B110" s="1" t="s">
        <v>730</v>
      </c>
      <c r="C110" s="4" t="s">
        <v>731</v>
      </c>
      <c r="D110" s="1">
        <f t="shared" si="1"/>
        <v>8801335114909</v>
      </c>
      <c r="E110" s="1" t="s">
        <v>732</v>
      </c>
      <c r="F110" s="1">
        <v>1948.0</v>
      </c>
      <c r="G110" s="1" t="s">
        <v>733</v>
      </c>
      <c r="H110" s="1" t="s">
        <v>734</v>
      </c>
      <c r="I110" s="5" t="s">
        <v>735</v>
      </c>
      <c r="J110" s="5" t="s">
        <v>699</v>
      </c>
      <c r="K110" s="1">
        <v>1410.0</v>
      </c>
      <c r="L110" s="1">
        <v>485.0</v>
      </c>
      <c r="M110" s="1">
        <v>680.0</v>
      </c>
      <c r="N110" s="1">
        <v>245.0</v>
      </c>
      <c r="O110" s="3" t="s">
        <v>706</v>
      </c>
      <c r="P110" s="1"/>
      <c r="Q110" s="1"/>
      <c r="R110" s="1"/>
      <c r="S110" s="1"/>
      <c r="T110" s="1"/>
      <c r="U110" s="1"/>
      <c r="V110" s="1"/>
      <c r="W110" s="1"/>
      <c r="X110" s="1"/>
      <c r="Y110" s="1"/>
      <c r="Z110" s="1"/>
    </row>
    <row r="111" ht="27.0" customHeight="1">
      <c r="A111" s="9" t="s">
        <v>736</v>
      </c>
      <c r="B111" s="9" t="s">
        <v>737</v>
      </c>
      <c r="C111" s="4" t="s">
        <v>738</v>
      </c>
      <c r="D111" s="9">
        <v>8.8025805101E11</v>
      </c>
      <c r="E111" s="9" t="s">
        <v>739</v>
      </c>
      <c r="F111" s="9">
        <v>2013.0</v>
      </c>
      <c r="G111" s="9" t="s">
        <v>740</v>
      </c>
      <c r="H111" s="9" t="s">
        <v>741</v>
      </c>
      <c r="I111" s="11" t="s">
        <v>742</v>
      </c>
      <c r="J111" s="11" t="s">
        <v>743</v>
      </c>
      <c r="K111" s="9">
        <v>200.0</v>
      </c>
      <c r="L111" s="9">
        <v>150.0</v>
      </c>
      <c r="M111" s="9">
        <v>25.0</v>
      </c>
      <c r="N111" s="9">
        <v>25.0</v>
      </c>
      <c r="O111" s="3" t="s">
        <v>706</v>
      </c>
      <c r="P111" s="13"/>
      <c r="Q111" s="13"/>
      <c r="R111" s="13"/>
      <c r="S111" s="13"/>
      <c r="T111" s="13"/>
      <c r="U111" s="13"/>
      <c r="V111" s="13"/>
      <c r="W111" s="13"/>
      <c r="X111" s="13"/>
      <c r="Y111" s="13"/>
      <c r="Z111" s="13"/>
    </row>
    <row r="112" ht="27.0" customHeight="1">
      <c r="A112" s="9" t="s">
        <v>736</v>
      </c>
      <c r="B112" s="9" t="s">
        <v>744</v>
      </c>
      <c r="C112" s="4" t="s">
        <v>745</v>
      </c>
      <c r="D112" s="9">
        <v>8.801711998877E12</v>
      </c>
      <c r="E112" s="9" t="s">
        <v>746</v>
      </c>
      <c r="F112" s="9">
        <v>2015.0</v>
      </c>
      <c r="G112" s="9" t="s">
        <v>747</v>
      </c>
      <c r="H112" s="9" t="s">
        <v>748</v>
      </c>
      <c r="I112" s="11" t="s">
        <v>749</v>
      </c>
      <c r="J112" s="11" t="s">
        <v>749</v>
      </c>
      <c r="K112" s="9">
        <v>50.0</v>
      </c>
      <c r="L112" s="9">
        <v>50.0</v>
      </c>
      <c r="M112" s="9" t="s">
        <v>40</v>
      </c>
      <c r="N112" s="9" t="s">
        <v>40</v>
      </c>
      <c r="O112" s="3" t="s">
        <v>750</v>
      </c>
      <c r="P112" s="13"/>
      <c r="Q112" s="13"/>
      <c r="R112" s="13"/>
      <c r="S112" s="13"/>
      <c r="T112" s="13"/>
      <c r="U112" s="13"/>
      <c r="V112" s="13"/>
      <c r="W112" s="13"/>
      <c r="X112" s="13"/>
      <c r="Y112" s="13"/>
      <c r="Z112" s="13"/>
    </row>
    <row r="113" ht="27.0" customHeight="1">
      <c r="A113" s="9" t="s">
        <v>736</v>
      </c>
      <c r="B113" s="9" t="s">
        <v>751</v>
      </c>
      <c r="C113" s="4" t="s">
        <v>752</v>
      </c>
      <c r="D113" s="9">
        <v>8.801769995099E12</v>
      </c>
      <c r="E113" s="9" t="s">
        <v>753</v>
      </c>
      <c r="F113" s="9">
        <v>2019.0</v>
      </c>
      <c r="G113" s="9" t="s">
        <v>754</v>
      </c>
      <c r="H113" s="9" t="s">
        <v>755</v>
      </c>
      <c r="I113" s="11" t="s">
        <v>756</v>
      </c>
      <c r="J113" s="11" t="s">
        <v>757</v>
      </c>
      <c r="K113" s="9">
        <v>200.0</v>
      </c>
      <c r="L113" s="9">
        <v>200.0</v>
      </c>
      <c r="M113" s="9" t="s">
        <v>40</v>
      </c>
      <c r="N113" s="9" t="s">
        <v>40</v>
      </c>
      <c r="O113" s="3" t="s">
        <v>750</v>
      </c>
      <c r="P113" s="13"/>
      <c r="Q113" s="13"/>
      <c r="R113" s="13"/>
      <c r="S113" s="13"/>
      <c r="T113" s="13"/>
      <c r="U113" s="13"/>
      <c r="V113" s="13"/>
      <c r="W113" s="13"/>
      <c r="X113" s="13"/>
      <c r="Y113" s="13"/>
      <c r="Z113" s="13"/>
    </row>
    <row r="114" ht="27.0" customHeight="1">
      <c r="A114" s="9" t="s">
        <v>736</v>
      </c>
      <c r="B114" s="9" t="s">
        <v>751</v>
      </c>
      <c r="C114" s="4" t="s">
        <v>752</v>
      </c>
      <c r="D114" s="9">
        <v>8.801769994318E12</v>
      </c>
      <c r="E114" s="9" t="s">
        <v>753</v>
      </c>
      <c r="F114" s="9">
        <v>2019.0</v>
      </c>
      <c r="G114" s="9" t="s">
        <v>758</v>
      </c>
      <c r="H114" s="9" t="s">
        <v>759</v>
      </c>
      <c r="I114" s="11" t="s">
        <v>760</v>
      </c>
      <c r="J114" s="11" t="s">
        <v>761</v>
      </c>
      <c r="K114" s="9">
        <v>100.0</v>
      </c>
      <c r="L114" s="9">
        <v>100.0</v>
      </c>
      <c r="M114" s="9" t="s">
        <v>40</v>
      </c>
      <c r="N114" s="9" t="s">
        <v>40</v>
      </c>
      <c r="O114" s="3" t="s">
        <v>750</v>
      </c>
      <c r="P114" s="13"/>
      <c r="Q114" s="13"/>
      <c r="R114" s="13"/>
      <c r="S114" s="13"/>
      <c r="T114" s="13"/>
      <c r="U114" s="13"/>
      <c r="V114" s="13"/>
      <c r="W114" s="13"/>
      <c r="X114" s="13"/>
      <c r="Y114" s="13"/>
      <c r="Z114" s="13"/>
    </row>
    <row r="115" ht="27.0" customHeight="1">
      <c r="A115" s="9" t="s">
        <v>736</v>
      </c>
      <c r="B115" s="9" t="s">
        <v>762</v>
      </c>
      <c r="C115" s="4" t="s">
        <v>763</v>
      </c>
      <c r="D115" s="9">
        <v>8.801705408004E12</v>
      </c>
      <c r="E115" s="9" t="s">
        <v>764</v>
      </c>
      <c r="F115" s="9">
        <v>2013.0</v>
      </c>
      <c r="G115" s="9" t="s">
        <v>765</v>
      </c>
      <c r="H115" s="9" t="s">
        <v>766</v>
      </c>
      <c r="I115" s="11" t="s">
        <v>767</v>
      </c>
      <c r="J115" s="11" t="s">
        <v>767</v>
      </c>
      <c r="K115" s="9" t="s">
        <v>40</v>
      </c>
      <c r="L115" s="9" t="s">
        <v>40</v>
      </c>
      <c r="M115" s="9" t="s">
        <v>40</v>
      </c>
      <c r="N115" s="9" t="s">
        <v>40</v>
      </c>
      <c r="O115" s="3" t="s">
        <v>750</v>
      </c>
      <c r="P115" s="13"/>
      <c r="Q115" s="13"/>
      <c r="R115" s="13"/>
      <c r="S115" s="13"/>
      <c r="T115" s="13"/>
      <c r="U115" s="13"/>
      <c r="V115" s="13"/>
      <c r="W115" s="13"/>
      <c r="X115" s="13"/>
      <c r="Y115" s="13"/>
      <c r="Z115" s="13"/>
    </row>
    <row r="116" ht="27.0" customHeight="1">
      <c r="A116" s="9" t="s">
        <v>736</v>
      </c>
      <c r="B116" s="9" t="s">
        <v>768</v>
      </c>
      <c r="C116" s="4" t="s">
        <v>769</v>
      </c>
      <c r="D116" s="9">
        <v>8.801711225588E12</v>
      </c>
      <c r="E116" s="9" t="s">
        <v>770</v>
      </c>
      <c r="F116" s="9">
        <v>1972.0</v>
      </c>
      <c r="G116" s="9" t="s">
        <v>771</v>
      </c>
      <c r="H116" s="9" t="s">
        <v>772</v>
      </c>
      <c r="I116" s="11" t="s">
        <v>773</v>
      </c>
      <c r="J116" s="11" t="s">
        <v>773</v>
      </c>
      <c r="K116" s="9">
        <v>100.0</v>
      </c>
      <c r="L116" s="9">
        <v>100.0</v>
      </c>
      <c r="M116" s="9" t="s">
        <v>40</v>
      </c>
      <c r="N116" s="9" t="s">
        <v>40</v>
      </c>
      <c r="O116" s="3" t="s">
        <v>750</v>
      </c>
      <c r="P116" s="13"/>
      <c r="Q116" s="13"/>
      <c r="R116" s="13"/>
      <c r="S116" s="13"/>
      <c r="T116" s="13"/>
      <c r="U116" s="13"/>
      <c r="V116" s="13"/>
      <c r="W116" s="13"/>
      <c r="X116" s="13"/>
      <c r="Y116" s="13"/>
      <c r="Z116" s="13"/>
    </row>
    <row r="117" ht="27.0" customHeight="1">
      <c r="A117" s="9" t="s">
        <v>736</v>
      </c>
      <c r="B117" s="9" t="s">
        <v>774</v>
      </c>
      <c r="C117" s="4" t="s">
        <v>775</v>
      </c>
      <c r="D117" s="9">
        <v>8.801711224466E12</v>
      </c>
      <c r="E117" s="9" t="s">
        <v>776</v>
      </c>
      <c r="F117" s="9">
        <v>2018.0</v>
      </c>
      <c r="G117" s="9" t="s">
        <v>777</v>
      </c>
      <c r="H117" s="9" t="s">
        <v>778</v>
      </c>
      <c r="I117" s="11" t="s">
        <v>779</v>
      </c>
      <c r="J117" s="11" t="s">
        <v>779</v>
      </c>
      <c r="K117" s="9">
        <v>100.0</v>
      </c>
      <c r="L117" s="9">
        <v>100.0</v>
      </c>
      <c r="M117" s="9" t="s">
        <v>40</v>
      </c>
      <c r="N117" s="9" t="s">
        <v>40</v>
      </c>
      <c r="O117" s="3" t="s">
        <v>750</v>
      </c>
      <c r="P117" s="13"/>
      <c r="Q117" s="13"/>
      <c r="R117" s="13"/>
      <c r="S117" s="13"/>
      <c r="T117" s="13"/>
      <c r="U117" s="13"/>
      <c r="V117" s="13"/>
      <c r="W117" s="13"/>
      <c r="X117" s="13"/>
      <c r="Y117" s="13"/>
      <c r="Z117" s="13"/>
    </row>
    <row r="118" ht="27.0" customHeight="1">
      <c r="A118" s="14" t="s">
        <v>780</v>
      </c>
      <c r="B118" s="9" t="s">
        <v>781</v>
      </c>
      <c r="C118" s="4" t="s">
        <v>782</v>
      </c>
      <c r="D118" s="9">
        <v>8.801712111113E12</v>
      </c>
      <c r="E118" s="15" t="s">
        <v>783</v>
      </c>
      <c r="F118" s="9">
        <v>2021.0</v>
      </c>
      <c r="G118" s="9" t="s">
        <v>784</v>
      </c>
      <c r="H118" s="11" t="s">
        <v>785</v>
      </c>
      <c r="I118" s="11" t="s">
        <v>786</v>
      </c>
      <c r="J118" s="11" t="s">
        <v>787</v>
      </c>
      <c r="K118" s="9">
        <v>120.0</v>
      </c>
      <c r="L118" s="9">
        <v>120.0</v>
      </c>
      <c r="M118" s="9" t="s">
        <v>40</v>
      </c>
      <c r="N118" s="9" t="s">
        <v>40</v>
      </c>
      <c r="O118" s="3" t="s">
        <v>750</v>
      </c>
      <c r="P118" s="3"/>
      <c r="Q118" s="3"/>
      <c r="R118" s="3"/>
      <c r="S118" s="3"/>
      <c r="T118" s="3"/>
      <c r="U118" s="3"/>
      <c r="V118" s="3"/>
      <c r="W118" s="3"/>
      <c r="X118" s="3"/>
      <c r="Y118" s="3"/>
      <c r="Z118" s="3"/>
    </row>
    <row r="119" ht="27.0" customHeight="1">
      <c r="A119" s="14" t="s">
        <v>780</v>
      </c>
      <c r="B119" s="9" t="s">
        <v>788</v>
      </c>
      <c r="C119" s="4" t="s">
        <v>789</v>
      </c>
      <c r="D119" s="9">
        <v>8.8044216894E11</v>
      </c>
      <c r="E119" s="15" t="s">
        <v>790</v>
      </c>
      <c r="F119" s="9">
        <v>2016.0</v>
      </c>
      <c r="G119" s="9" t="s">
        <v>791</v>
      </c>
      <c r="H119" s="11" t="s">
        <v>792</v>
      </c>
      <c r="I119" s="11" t="s">
        <v>793</v>
      </c>
      <c r="J119" s="11" t="s">
        <v>787</v>
      </c>
      <c r="K119" s="9">
        <v>120.0</v>
      </c>
      <c r="L119" s="9">
        <v>120.0</v>
      </c>
      <c r="M119" s="9" t="s">
        <v>40</v>
      </c>
      <c r="N119" s="9" t="s">
        <v>40</v>
      </c>
      <c r="O119" s="16" t="s">
        <v>794</v>
      </c>
      <c r="P119" s="3"/>
      <c r="Q119" s="3"/>
      <c r="R119" s="3"/>
      <c r="S119" s="3"/>
      <c r="T119" s="3"/>
      <c r="U119" s="3"/>
      <c r="V119" s="3"/>
      <c r="W119" s="3"/>
      <c r="X119" s="3"/>
      <c r="Y119" s="3"/>
      <c r="Z119" s="3"/>
    </row>
    <row r="120" ht="27.0" customHeight="1">
      <c r="A120" s="14" t="s">
        <v>780</v>
      </c>
      <c r="B120" s="9" t="s">
        <v>795</v>
      </c>
      <c r="C120" s="4" t="s">
        <v>796</v>
      </c>
      <c r="D120" s="9">
        <v>8.8043163659E10</v>
      </c>
      <c r="E120" s="15" t="s">
        <v>797</v>
      </c>
      <c r="F120" s="9">
        <v>2010.0</v>
      </c>
      <c r="G120" s="9" t="s">
        <v>798</v>
      </c>
      <c r="H120" s="9" t="s">
        <v>799</v>
      </c>
      <c r="I120" s="17" t="s">
        <v>800</v>
      </c>
      <c r="J120" s="11" t="s">
        <v>787</v>
      </c>
      <c r="K120" s="9">
        <v>120.0</v>
      </c>
      <c r="L120" s="9">
        <v>120.0</v>
      </c>
      <c r="M120" s="9" t="s">
        <v>40</v>
      </c>
      <c r="N120" s="9" t="s">
        <v>40</v>
      </c>
      <c r="O120" s="16" t="s">
        <v>794</v>
      </c>
      <c r="P120" s="3"/>
      <c r="Q120" s="3"/>
      <c r="R120" s="3"/>
      <c r="S120" s="3"/>
      <c r="T120" s="3"/>
      <c r="U120" s="3"/>
      <c r="V120" s="3"/>
      <c r="W120" s="3"/>
      <c r="X120" s="3"/>
      <c r="Y120" s="3"/>
      <c r="Z120" s="3"/>
    </row>
    <row r="121" ht="27.0" customHeight="1">
      <c r="A121" s="14" t="s">
        <v>780</v>
      </c>
      <c r="B121" s="9" t="s">
        <v>801</v>
      </c>
      <c r="C121" s="4" t="s">
        <v>802</v>
      </c>
      <c r="D121" s="9">
        <v>8.801711211111E12</v>
      </c>
      <c r="E121" s="9" t="s">
        <v>803</v>
      </c>
      <c r="F121" s="9">
        <v>2018.0</v>
      </c>
      <c r="G121" s="9" t="s">
        <v>804</v>
      </c>
      <c r="H121" s="9" t="s">
        <v>805</v>
      </c>
      <c r="I121" s="11" t="s">
        <v>806</v>
      </c>
      <c r="J121" s="11" t="s">
        <v>807</v>
      </c>
      <c r="K121" s="9">
        <v>120.0</v>
      </c>
      <c r="L121" s="9">
        <v>120.0</v>
      </c>
      <c r="M121" s="9" t="s">
        <v>40</v>
      </c>
      <c r="N121" s="9" t="s">
        <v>40</v>
      </c>
      <c r="O121" s="16" t="s">
        <v>794</v>
      </c>
      <c r="P121" s="3"/>
      <c r="Q121" s="3"/>
      <c r="R121" s="3"/>
      <c r="S121" s="3"/>
      <c r="T121" s="3"/>
      <c r="U121" s="3"/>
      <c r="V121" s="3"/>
      <c r="W121" s="3"/>
      <c r="X121" s="3"/>
      <c r="Y121" s="3"/>
      <c r="Z121" s="3"/>
    </row>
    <row r="122" ht="27.0" customHeight="1">
      <c r="A122" s="14" t="s">
        <v>780</v>
      </c>
      <c r="B122" s="9" t="s">
        <v>808</v>
      </c>
      <c r="C122" s="4" t="s">
        <v>809</v>
      </c>
      <c r="D122" s="9">
        <v>8.801717654321E12</v>
      </c>
      <c r="E122" s="15" t="s">
        <v>810</v>
      </c>
      <c r="F122" s="9">
        <v>2014.0</v>
      </c>
      <c r="G122" s="9" t="s">
        <v>811</v>
      </c>
      <c r="H122" s="11" t="s">
        <v>812</v>
      </c>
      <c r="I122" s="11" t="s">
        <v>813</v>
      </c>
      <c r="J122" s="11" t="s">
        <v>814</v>
      </c>
      <c r="K122" s="9">
        <v>120.0</v>
      </c>
      <c r="L122" s="9">
        <v>120.0</v>
      </c>
      <c r="M122" s="9" t="s">
        <v>40</v>
      </c>
      <c r="N122" s="9" t="s">
        <v>40</v>
      </c>
      <c r="O122" s="16" t="s">
        <v>794</v>
      </c>
      <c r="P122" s="3"/>
      <c r="Q122" s="3"/>
      <c r="R122" s="3"/>
      <c r="S122" s="3"/>
      <c r="T122" s="3"/>
      <c r="U122" s="3"/>
      <c r="V122" s="3"/>
      <c r="W122" s="3"/>
      <c r="X122" s="3"/>
      <c r="Y122" s="3"/>
      <c r="Z122" s="3"/>
    </row>
    <row r="123" ht="27.0" customHeight="1">
      <c r="A123" s="14" t="s">
        <v>780</v>
      </c>
      <c r="B123" s="9" t="s">
        <v>815</v>
      </c>
      <c r="C123" s="4" t="s">
        <v>816</v>
      </c>
      <c r="D123" s="9">
        <v>8.801711223344E12</v>
      </c>
      <c r="E123" s="15" t="s">
        <v>817</v>
      </c>
      <c r="F123" s="9">
        <v>2005.0</v>
      </c>
      <c r="G123" s="9" t="s">
        <v>818</v>
      </c>
      <c r="H123" s="11" t="s">
        <v>819</v>
      </c>
      <c r="I123" s="11" t="s">
        <v>820</v>
      </c>
      <c r="J123" s="11" t="s">
        <v>814</v>
      </c>
      <c r="K123" s="9">
        <v>120.0</v>
      </c>
      <c r="L123" s="9">
        <v>120.0</v>
      </c>
      <c r="M123" s="9" t="s">
        <v>40</v>
      </c>
      <c r="N123" s="9" t="s">
        <v>40</v>
      </c>
      <c r="O123" s="16" t="s">
        <v>794</v>
      </c>
      <c r="P123" s="3"/>
      <c r="Q123" s="3"/>
      <c r="R123" s="3"/>
      <c r="S123" s="3"/>
      <c r="T123" s="3"/>
      <c r="U123" s="3"/>
      <c r="V123" s="3"/>
      <c r="W123" s="3"/>
      <c r="X123" s="3"/>
      <c r="Y123" s="3"/>
      <c r="Z123" s="3"/>
    </row>
    <row r="124" ht="27.0" customHeight="1">
      <c r="A124" s="14" t="s">
        <v>780</v>
      </c>
      <c r="B124" s="9" t="s">
        <v>821</v>
      </c>
      <c r="C124" s="4" t="s">
        <v>822</v>
      </c>
      <c r="D124" s="9">
        <v>8.8073165749E10</v>
      </c>
      <c r="E124" s="15" t="s">
        <v>823</v>
      </c>
      <c r="F124" s="9">
        <v>2006.0</v>
      </c>
      <c r="G124" s="9" t="s">
        <v>824</v>
      </c>
      <c r="H124" s="11" t="s">
        <v>825</v>
      </c>
      <c r="I124" s="11" t="s">
        <v>826</v>
      </c>
      <c r="J124" s="11" t="s">
        <v>807</v>
      </c>
      <c r="K124" s="9">
        <v>120.0</v>
      </c>
      <c r="L124" s="9">
        <v>120.0</v>
      </c>
      <c r="M124" s="9" t="s">
        <v>40</v>
      </c>
      <c r="N124" s="9" t="s">
        <v>40</v>
      </c>
      <c r="O124" s="16" t="s">
        <v>794</v>
      </c>
      <c r="P124" s="3"/>
      <c r="Q124" s="3"/>
      <c r="R124" s="3"/>
      <c r="S124" s="3"/>
      <c r="T124" s="3"/>
      <c r="U124" s="3"/>
      <c r="V124" s="3"/>
      <c r="W124" s="3"/>
      <c r="X124" s="3"/>
      <c r="Y124" s="3"/>
      <c r="Z124" s="3"/>
    </row>
    <row r="125" ht="27.0" customHeight="1">
      <c r="A125" s="14" t="s">
        <v>780</v>
      </c>
      <c r="B125" s="9" t="s">
        <v>827</v>
      </c>
      <c r="C125" s="4" t="s">
        <v>828</v>
      </c>
      <c r="D125" s="9">
        <v>8.801711987654E12</v>
      </c>
      <c r="E125" s="15" t="s">
        <v>829</v>
      </c>
      <c r="F125" s="9">
        <v>2012.0</v>
      </c>
      <c r="G125" s="9" t="s">
        <v>830</v>
      </c>
      <c r="H125" s="11" t="s">
        <v>831</v>
      </c>
      <c r="I125" s="11" t="s">
        <v>832</v>
      </c>
      <c r="J125" s="11" t="s">
        <v>814</v>
      </c>
      <c r="K125" s="9">
        <v>120.0</v>
      </c>
      <c r="L125" s="9">
        <v>120.0</v>
      </c>
      <c r="M125" s="9" t="s">
        <v>40</v>
      </c>
      <c r="N125" s="9" t="s">
        <v>40</v>
      </c>
      <c r="O125" s="16" t="s">
        <v>794</v>
      </c>
      <c r="P125" s="3"/>
      <c r="Q125" s="3"/>
      <c r="R125" s="3"/>
      <c r="S125" s="3"/>
      <c r="T125" s="3"/>
      <c r="U125" s="3"/>
      <c r="V125" s="3"/>
      <c r="W125" s="3"/>
      <c r="X125" s="3"/>
      <c r="Y125" s="3"/>
      <c r="Z125" s="3"/>
    </row>
    <row r="126" ht="27.0" customHeight="1">
      <c r="A126" s="14" t="s">
        <v>780</v>
      </c>
      <c r="B126" s="9" t="s">
        <v>833</v>
      </c>
      <c r="C126" s="4" t="s">
        <v>834</v>
      </c>
      <c r="D126" s="9">
        <v>8.803215174E10</v>
      </c>
      <c r="E126" s="15" t="s">
        <v>835</v>
      </c>
      <c r="F126" s="9">
        <v>2006.0</v>
      </c>
      <c r="G126" s="9" t="s">
        <v>836</v>
      </c>
      <c r="H126" s="9" t="s">
        <v>837</v>
      </c>
      <c r="I126" s="11" t="s">
        <v>838</v>
      </c>
      <c r="J126" s="11" t="s">
        <v>787</v>
      </c>
      <c r="K126" s="9">
        <v>120.0</v>
      </c>
      <c r="L126" s="9">
        <v>120.0</v>
      </c>
      <c r="M126" s="9" t="s">
        <v>40</v>
      </c>
      <c r="N126" s="9" t="s">
        <v>40</v>
      </c>
      <c r="O126" s="16" t="s">
        <v>794</v>
      </c>
      <c r="P126" s="3"/>
      <c r="Q126" s="3"/>
      <c r="R126" s="3"/>
      <c r="S126" s="3"/>
      <c r="T126" s="3"/>
      <c r="U126" s="3"/>
      <c r="V126" s="3"/>
      <c r="W126" s="3"/>
      <c r="X126" s="3"/>
      <c r="Y126" s="3"/>
      <c r="Z126" s="3"/>
    </row>
    <row r="127" ht="27.0" customHeight="1">
      <c r="A127" s="14" t="s">
        <v>780</v>
      </c>
      <c r="B127" s="9" t="s">
        <v>839</v>
      </c>
      <c r="C127" s="4" t="s">
        <v>840</v>
      </c>
      <c r="D127" s="9">
        <v>8.802333324155E12</v>
      </c>
      <c r="E127" s="15" t="s">
        <v>841</v>
      </c>
      <c r="F127" s="9">
        <v>1952.0</v>
      </c>
      <c r="G127" s="9" t="s">
        <v>842</v>
      </c>
      <c r="H127" s="9" t="s">
        <v>772</v>
      </c>
      <c r="I127" s="11" t="s">
        <v>843</v>
      </c>
      <c r="J127" s="11" t="s">
        <v>773</v>
      </c>
      <c r="K127" s="9">
        <v>100.0</v>
      </c>
      <c r="L127" s="9">
        <v>100.0</v>
      </c>
      <c r="M127" s="9" t="s">
        <v>40</v>
      </c>
      <c r="N127" s="9" t="s">
        <v>40</v>
      </c>
      <c r="O127" s="16" t="s">
        <v>794</v>
      </c>
      <c r="P127" s="3"/>
      <c r="Q127" s="3"/>
      <c r="R127" s="3"/>
      <c r="S127" s="3"/>
      <c r="T127" s="3"/>
      <c r="U127" s="3"/>
      <c r="V127" s="3"/>
      <c r="W127" s="3"/>
      <c r="X127" s="3"/>
      <c r="Y127" s="3"/>
      <c r="Z127" s="3"/>
    </row>
    <row r="128" ht="27.0" customHeight="1">
      <c r="A128" s="14" t="s">
        <v>780</v>
      </c>
      <c r="B128" s="9" t="s">
        <v>844</v>
      </c>
      <c r="C128" s="4" t="s">
        <v>845</v>
      </c>
      <c r="D128" s="9">
        <v>8.801755513271E12</v>
      </c>
      <c r="E128" s="15" t="s">
        <v>846</v>
      </c>
      <c r="F128" s="9">
        <v>2010.0</v>
      </c>
      <c r="G128" s="9" t="s">
        <v>847</v>
      </c>
      <c r="H128" s="11" t="s">
        <v>848</v>
      </c>
      <c r="I128" s="11" t="s">
        <v>849</v>
      </c>
      <c r="J128" s="11" t="s">
        <v>849</v>
      </c>
      <c r="K128" s="9">
        <v>500.0</v>
      </c>
      <c r="L128" s="9">
        <v>400.0</v>
      </c>
      <c r="M128" s="9" t="s">
        <v>40</v>
      </c>
      <c r="N128" s="9">
        <v>100.0</v>
      </c>
      <c r="O128" s="16" t="s">
        <v>794</v>
      </c>
      <c r="P128" s="3"/>
      <c r="Q128" s="3"/>
      <c r="R128" s="3"/>
      <c r="S128" s="3"/>
      <c r="T128" s="3"/>
      <c r="U128" s="3"/>
      <c r="V128" s="3"/>
      <c r="W128" s="3"/>
      <c r="X128" s="3"/>
      <c r="Y128" s="3"/>
      <c r="Z128" s="3"/>
    </row>
    <row r="129" ht="27.0" customHeight="1">
      <c r="A129" s="14" t="s">
        <v>780</v>
      </c>
      <c r="B129" s="9" t="s">
        <v>850</v>
      </c>
      <c r="C129" s="4" t="s">
        <v>851</v>
      </c>
      <c r="D129" s="9">
        <v>8.801712521193E12</v>
      </c>
      <c r="E129" s="15" t="s">
        <v>852</v>
      </c>
      <c r="F129" s="9">
        <v>2007.0</v>
      </c>
      <c r="G129" s="9" t="s">
        <v>853</v>
      </c>
      <c r="H129" s="11" t="s">
        <v>854</v>
      </c>
      <c r="I129" s="11" t="s">
        <v>855</v>
      </c>
      <c r="J129" s="11" t="s">
        <v>856</v>
      </c>
      <c r="K129" s="9">
        <v>180.0</v>
      </c>
      <c r="L129" s="9">
        <v>180.0</v>
      </c>
      <c r="M129" s="9" t="s">
        <v>40</v>
      </c>
      <c r="N129" s="9" t="s">
        <v>40</v>
      </c>
      <c r="O129" s="16" t="s">
        <v>794</v>
      </c>
      <c r="P129" s="3"/>
      <c r="Q129" s="3"/>
      <c r="R129" s="3"/>
      <c r="S129" s="3"/>
      <c r="T129" s="3"/>
      <c r="U129" s="3"/>
      <c r="V129" s="3"/>
      <c r="W129" s="3"/>
      <c r="X129" s="3"/>
      <c r="Y129" s="3"/>
      <c r="Z129" s="3"/>
    </row>
    <row r="130" ht="27.0" customHeight="1">
      <c r="A130" s="14" t="s">
        <v>780</v>
      </c>
      <c r="B130" s="9" t="s">
        <v>857</v>
      </c>
      <c r="C130" s="4" t="s">
        <v>858</v>
      </c>
      <c r="D130" s="9">
        <v>8.802333301072E12</v>
      </c>
      <c r="E130" s="15" t="s">
        <v>859</v>
      </c>
      <c r="F130" s="9">
        <v>1973.0</v>
      </c>
      <c r="G130" s="9" t="s">
        <v>842</v>
      </c>
      <c r="H130" s="9" t="s">
        <v>860</v>
      </c>
      <c r="I130" s="11" t="s">
        <v>861</v>
      </c>
      <c r="J130" s="11" t="s">
        <v>862</v>
      </c>
      <c r="K130" s="9">
        <v>100.0</v>
      </c>
      <c r="L130" s="9">
        <v>100.0</v>
      </c>
      <c r="M130" s="9" t="s">
        <v>40</v>
      </c>
      <c r="N130" s="9" t="s">
        <v>40</v>
      </c>
      <c r="O130" s="16" t="s">
        <v>794</v>
      </c>
      <c r="P130" s="3"/>
      <c r="Q130" s="3"/>
      <c r="R130" s="3"/>
      <c r="S130" s="3"/>
      <c r="T130" s="3"/>
      <c r="U130" s="3"/>
      <c r="V130" s="3"/>
      <c r="W130" s="3"/>
      <c r="X130" s="3"/>
      <c r="Y130" s="3"/>
      <c r="Z130" s="3"/>
    </row>
    <row r="131" ht="27.0" customHeight="1">
      <c r="A131" s="14" t="s">
        <v>780</v>
      </c>
      <c r="B131" s="9" t="s">
        <v>863</v>
      </c>
      <c r="C131" s="4" t="s">
        <v>864</v>
      </c>
      <c r="D131" s="9">
        <v>8.801712111114E12</v>
      </c>
      <c r="E131" s="15" t="s">
        <v>865</v>
      </c>
      <c r="F131" s="9">
        <v>2022.0</v>
      </c>
      <c r="G131" s="9" t="s">
        <v>866</v>
      </c>
      <c r="H131" s="11" t="s">
        <v>867</v>
      </c>
      <c r="I131" s="11" t="s">
        <v>868</v>
      </c>
      <c r="J131" s="11" t="s">
        <v>787</v>
      </c>
      <c r="K131" s="9">
        <v>120.0</v>
      </c>
      <c r="L131" s="9">
        <v>120.0</v>
      </c>
      <c r="M131" s="9" t="s">
        <v>40</v>
      </c>
      <c r="N131" s="9" t="s">
        <v>40</v>
      </c>
      <c r="O131" s="16" t="s">
        <v>794</v>
      </c>
      <c r="P131" s="3"/>
      <c r="Q131" s="3"/>
      <c r="R131" s="3"/>
      <c r="S131" s="3"/>
      <c r="T131" s="3"/>
      <c r="U131" s="3"/>
      <c r="V131" s="3"/>
      <c r="W131" s="3"/>
      <c r="X131" s="3"/>
      <c r="Y131" s="3"/>
      <c r="Z131" s="3"/>
    </row>
    <row r="132" ht="27.0" customHeight="1">
      <c r="A132" s="14" t="s">
        <v>780</v>
      </c>
      <c r="B132" s="9" t="s">
        <v>869</v>
      </c>
      <c r="C132" s="4" t="s">
        <v>870</v>
      </c>
      <c r="D132" s="9">
        <v>8.801712111113E12</v>
      </c>
      <c r="E132" s="15" t="s">
        <v>871</v>
      </c>
      <c r="F132" s="9">
        <v>2021.0</v>
      </c>
      <c r="G132" s="9" t="s">
        <v>872</v>
      </c>
      <c r="H132" s="11" t="s">
        <v>873</v>
      </c>
      <c r="I132" s="11" t="s">
        <v>874</v>
      </c>
      <c r="J132" s="11" t="s">
        <v>875</v>
      </c>
      <c r="K132" s="9">
        <v>120.0</v>
      </c>
      <c r="L132" s="9">
        <v>120.0</v>
      </c>
      <c r="M132" s="9" t="s">
        <v>40</v>
      </c>
      <c r="N132" s="9" t="s">
        <v>40</v>
      </c>
      <c r="O132" s="16" t="s">
        <v>794</v>
      </c>
      <c r="P132" s="3"/>
      <c r="Q132" s="3"/>
      <c r="R132" s="3"/>
      <c r="S132" s="3"/>
      <c r="T132" s="3"/>
      <c r="U132" s="3"/>
      <c r="V132" s="3"/>
      <c r="W132" s="3"/>
      <c r="X132" s="3"/>
      <c r="Y132" s="3"/>
      <c r="Z132" s="3"/>
    </row>
    <row r="133" ht="27.0" customHeight="1">
      <c r="A133" s="14" t="s">
        <v>780</v>
      </c>
      <c r="B133" s="9" t="s">
        <v>876</v>
      </c>
      <c r="C133" s="4" t="s">
        <v>877</v>
      </c>
      <c r="D133" s="9">
        <v>8.801711181467E12</v>
      </c>
      <c r="E133" s="15" t="s">
        <v>878</v>
      </c>
      <c r="F133" s="9">
        <v>2010.0</v>
      </c>
      <c r="G133" s="9" t="s">
        <v>879</v>
      </c>
      <c r="H133" s="11" t="s">
        <v>880</v>
      </c>
      <c r="I133" s="11" t="s">
        <v>881</v>
      </c>
      <c r="J133" s="11" t="s">
        <v>856</v>
      </c>
      <c r="K133" s="9">
        <v>180.0</v>
      </c>
      <c r="L133" s="9">
        <v>180.0</v>
      </c>
      <c r="M133" s="9" t="s">
        <v>40</v>
      </c>
      <c r="N133" s="9" t="s">
        <v>40</v>
      </c>
      <c r="O133" s="16" t="s">
        <v>794</v>
      </c>
      <c r="P133" s="3"/>
      <c r="Q133" s="3"/>
      <c r="R133" s="3"/>
      <c r="S133" s="3"/>
      <c r="T133" s="3"/>
      <c r="U133" s="3"/>
      <c r="V133" s="3"/>
      <c r="W133" s="3"/>
      <c r="X133" s="3"/>
      <c r="Y133" s="3"/>
      <c r="Z133" s="3"/>
    </row>
    <row r="134" ht="27.0" customHeight="1">
      <c r="A134" s="14" t="s">
        <v>780</v>
      </c>
      <c r="B134" s="9" t="s">
        <v>882</v>
      </c>
      <c r="C134" s="4" t="s">
        <v>883</v>
      </c>
      <c r="D134" s="9">
        <v>8.801712111112E12</v>
      </c>
      <c r="E134" s="9" t="s">
        <v>884</v>
      </c>
      <c r="F134" s="9">
        <v>2021.0</v>
      </c>
      <c r="G134" s="9" t="s">
        <v>804</v>
      </c>
      <c r="H134" s="9" t="s">
        <v>885</v>
      </c>
      <c r="I134" s="11" t="s">
        <v>886</v>
      </c>
      <c r="J134" s="11" t="s">
        <v>875</v>
      </c>
      <c r="K134" s="9">
        <v>120.0</v>
      </c>
      <c r="L134" s="9">
        <v>120.0</v>
      </c>
      <c r="M134" s="9" t="s">
        <v>40</v>
      </c>
      <c r="N134" s="9" t="s">
        <v>40</v>
      </c>
      <c r="O134" s="16" t="s">
        <v>794</v>
      </c>
      <c r="P134" s="3"/>
      <c r="Q134" s="3"/>
      <c r="R134" s="3"/>
      <c r="S134" s="3"/>
      <c r="T134" s="3"/>
      <c r="U134" s="3"/>
      <c r="V134" s="3"/>
      <c r="W134" s="3"/>
      <c r="X134" s="3"/>
      <c r="Y134" s="3"/>
      <c r="Z134" s="3"/>
    </row>
    <row r="135" ht="27.0" customHeight="1">
      <c r="A135" s="14" t="s">
        <v>780</v>
      </c>
      <c r="B135" s="9" t="s">
        <v>887</v>
      </c>
      <c r="C135" s="4" t="s">
        <v>888</v>
      </c>
      <c r="D135" s="9">
        <v>8.802223363231E12</v>
      </c>
      <c r="E135" s="15" t="s">
        <v>889</v>
      </c>
      <c r="F135" s="9">
        <v>1961.0</v>
      </c>
      <c r="G135" s="9" t="s">
        <v>890</v>
      </c>
      <c r="H135" s="11" t="s">
        <v>891</v>
      </c>
      <c r="I135" s="11" t="s">
        <v>892</v>
      </c>
      <c r="J135" s="11" t="s">
        <v>856</v>
      </c>
      <c r="K135" s="9">
        <v>1000.0</v>
      </c>
      <c r="L135" s="9" t="s">
        <v>40</v>
      </c>
      <c r="M135" s="9">
        <v>1000.0</v>
      </c>
      <c r="N135" s="9" t="s">
        <v>40</v>
      </c>
      <c r="O135" s="16" t="s">
        <v>794</v>
      </c>
      <c r="P135" s="3"/>
      <c r="Q135" s="3"/>
      <c r="R135" s="3"/>
      <c r="S135" s="3"/>
      <c r="T135" s="3"/>
      <c r="U135" s="3"/>
      <c r="V135" s="3"/>
      <c r="W135" s="3"/>
      <c r="X135" s="3"/>
      <c r="Y135" s="3"/>
      <c r="Z135" s="3"/>
    </row>
    <row r="136" ht="27.0" customHeight="1">
      <c r="A136" s="14" t="s">
        <v>780</v>
      </c>
      <c r="B136" s="9" t="s">
        <v>893</v>
      </c>
      <c r="C136" s="4" t="s">
        <v>894</v>
      </c>
      <c r="D136" s="9">
        <v>8.80187012525E12</v>
      </c>
      <c r="E136" s="15" t="s">
        <v>895</v>
      </c>
      <c r="F136" s="9">
        <v>2006.0</v>
      </c>
      <c r="G136" s="9" t="s">
        <v>842</v>
      </c>
      <c r="H136" s="11" t="s">
        <v>896</v>
      </c>
      <c r="I136" s="11" t="s">
        <v>897</v>
      </c>
      <c r="J136" s="11" t="s">
        <v>787</v>
      </c>
      <c r="K136" s="9">
        <v>120.0</v>
      </c>
      <c r="L136" s="9">
        <v>120.0</v>
      </c>
      <c r="M136" s="9" t="s">
        <v>40</v>
      </c>
      <c r="N136" s="9" t="s">
        <v>40</v>
      </c>
      <c r="O136" s="16" t="s">
        <v>794</v>
      </c>
      <c r="P136" s="3"/>
      <c r="Q136" s="3"/>
      <c r="R136" s="3"/>
      <c r="S136" s="3"/>
      <c r="T136" s="3"/>
      <c r="U136" s="3"/>
      <c r="V136" s="3"/>
      <c r="W136" s="3"/>
      <c r="X136" s="3"/>
      <c r="Y136" s="3"/>
      <c r="Z136" s="3"/>
    </row>
    <row r="137" ht="27.0" customHeight="1">
      <c r="A137" s="14" t="s">
        <v>780</v>
      </c>
      <c r="B137" s="9" t="s">
        <v>898</v>
      </c>
      <c r="C137" s="4" t="s">
        <v>899</v>
      </c>
      <c r="D137" s="9">
        <v>8.801711204E12</v>
      </c>
      <c r="E137" s="15" t="s">
        <v>900</v>
      </c>
      <c r="F137" s="9">
        <v>2018.0</v>
      </c>
      <c r="G137" s="9" t="s">
        <v>798</v>
      </c>
      <c r="H137" s="11" t="s">
        <v>901</v>
      </c>
      <c r="I137" s="11" t="s">
        <v>902</v>
      </c>
      <c r="J137" s="11" t="s">
        <v>856</v>
      </c>
      <c r="K137" s="9">
        <v>120.0</v>
      </c>
      <c r="L137" s="9">
        <v>120.0</v>
      </c>
      <c r="M137" s="9" t="s">
        <v>40</v>
      </c>
      <c r="N137" s="9" t="s">
        <v>40</v>
      </c>
      <c r="O137" s="16" t="s">
        <v>794</v>
      </c>
      <c r="P137" s="3"/>
      <c r="Q137" s="3"/>
      <c r="R137" s="3"/>
      <c r="S137" s="3"/>
      <c r="T137" s="3"/>
      <c r="U137" s="3"/>
      <c r="V137" s="3"/>
      <c r="W137" s="3"/>
      <c r="X137" s="3"/>
      <c r="Y137" s="3"/>
      <c r="Z137" s="3"/>
    </row>
    <row r="138" ht="27.0" customHeight="1">
      <c r="A138" s="14" t="s">
        <v>780</v>
      </c>
      <c r="B138" s="9" t="s">
        <v>903</v>
      </c>
      <c r="C138" s="4" t="s">
        <v>904</v>
      </c>
      <c r="D138" s="9" t="s">
        <v>905</v>
      </c>
      <c r="E138" s="15" t="s">
        <v>906</v>
      </c>
      <c r="F138" s="9" t="s">
        <v>907</v>
      </c>
      <c r="G138" s="9" t="s">
        <v>842</v>
      </c>
      <c r="H138" s="9" t="s">
        <v>908</v>
      </c>
      <c r="I138" s="11" t="s">
        <v>909</v>
      </c>
      <c r="J138" s="11" t="s">
        <v>910</v>
      </c>
      <c r="K138" s="9" t="s">
        <v>911</v>
      </c>
      <c r="L138" s="9" t="s">
        <v>911</v>
      </c>
      <c r="M138" s="9" t="s">
        <v>40</v>
      </c>
      <c r="N138" s="9" t="s">
        <v>40</v>
      </c>
      <c r="O138" s="16" t="s">
        <v>794</v>
      </c>
      <c r="P138" s="3"/>
      <c r="Q138" s="3"/>
      <c r="R138" s="3"/>
      <c r="S138" s="3"/>
      <c r="T138" s="3"/>
      <c r="U138" s="3"/>
      <c r="V138" s="3"/>
      <c r="W138" s="3"/>
      <c r="X138" s="3"/>
      <c r="Y138" s="3"/>
      <c r="Z138" s="3"/>
    </row>
    <row r="139" ht="27.0" customHeight="1">
      <c r="A139" s="14" t="s">
        <v>780</v>
      </c>
      <c r="B139" s="9" t="s">
        <v>912</v>
      </c>
      <c r="C139" s="4" t="s">
        <v>913</v>
      </c>
      <c r="D139" s="9">
        <v>8.80922356064E11</v>
      </c>
      <c r="E139" s="15" t="s">
        <v>914</v>
      </c>
      <c r="F139" s="9">
        <v>2007.0</v>
      </c>
      <c r="G139" s="9" t="s">
        <v>915</v>
      </c>
      <c r="H139" s="11" t="s">
        <v>916</v>
      </c>
      <c r="I139" s="11" t="s">
        <v>917</v>
      </c>
      <c r="J139" s="11" t="s">
        <v>807</v>
      </c>
      <c r="K139" s="9">
        <v>120.0</v>
      </c>
      <c r="L139" s="9">
        <v>120.0</v>
      </c>
      <c r="M139" s="9" t="s">
        <v>40</v>
      </c>
      <c r="N139" s="9" t="s">
        <v>40</v>
      </c>
      <c r="O139" s="16" t="s">
        <v>794</v>
      </c>
      <c r="P139" s="3"/>
      <c r="Q139" s="3"/>
      <c r="R139" s="3"/>
      <c r="S139" s="3"/>
      <c r="T139" s="3"/>
      <c r="U139" s="3"/>
      <c r="V139" s="3"/>
      <c r="W139" s="3"/>
      <c r="X139" s="3"/>
      <c r="Y139" s="3"/>
      <c r="Z139" s="3"/>
    </row>
    <row r="140" ht="27.0" customHeight="1">
      <c r="A140" s="7" t="s">
        <v>918</v>
      </c>
      <c r="B140" s="7" t="s">
        <v>919</v>
      </c>
      <c r="C140" s="4" t="s">
        <v>920</v>
      </c>
      <c r="D140" s="7">
        <f>+880257317255</f>
        <v>880257317255</v>
      </c>
      <c r="E140" s="7" t="s">
        <v>921</v>
      </c>
      <c r="F140" s="7">
        <v>2012.0</v>
      </c>
      <c r="G140" s="7" t="s">
        <v>922</v>
      </c>
      <c r="H140" s="7" t="s">
        <v>923</v>
      </c>
      <c r="I140" s="8" t="s">
        <v>924</v>
      </c>
      <c r="J140" s="8" t="s">
        <v>925</v>
      </c>
      <c r="K140" s="7">
        <v>52.0</v>
      </c>
      <c r="L140" s="7">
        <v>52.0</v>
      </c>
      <c r="M140" s="7" t="s">
        <v>40</v>
      </c>
      <c r="N140" s="7" t="s">
        <v>40</v>
      </c>
      <c r="O140" s="16" t="s">
        <v>794</v>
      </c>
      <c r="P140" s="1"/>
      <c r="Q140" s="1"/>
      <c r="R140" s="1"/>
      <c r="S140" s="1"/>
      <c r="T140" s="1"/>
      <c r="U140" s="1"/>
      <c r="V140" s="1"/>
      <c r="W140" s="1"/>
      <c r="X140" s="1"/>
      <c r="Y140" s="1"/>
      <c r="Z140" s="1"/>
    </row>
    <row r="141" ht="27.0" customHeight="1">
      <c r="A141" s="7" t="s">
        <v>918</v>
      </c>
      <c r="B141" s="7" t="s">
        <v>926</v>
      </c>
      <c r="C141" s="4" t="s">
        <v>927</v>
      </c>
      <c r="D141" s="7">
        <f>+8804312173547</f>
        <v>8804312173547</v>
      </c>
      <c r="E141" s="7" t="s">
        <v>928</v>
      </c>
      <c r="F141" s="7">
        <v>2012.0</v>
      </c>
      <c r="G141" s="7" t="s">
        <v>315</v>
      </c>
      <c r="H141" s="7" t="s">
        <v>316</v>
      </c>
      <c r="I141" s="8" t="s">
        <v>929</v>
      </c>
      <c r="J141" s="8" t="s">
        <v>925</v>
      </c>
      <c r="K141" s="7">
        <v>52.0</v>
      </c>
      <c r="L141" s="7">
        <v>52.0</v>
      </c>
      <c r="M141" s="7" t="s">
        <v>40</v>
      </c>
      <c r="N141" s="7" t="s">
        <v>40</v>
      </c>
      <c r="O141" s="16" t="s">
        <v>794</v>
      </c>
      <c r="P141" s="1"/>
      <c r="Q141" s="1"/>
      <c r="R141" s="1"/>
      <c r="S141" s="1"/>
      <c r="T141" s="1"/>
      <c r="U141" s="1"/>
      <c r="V141" s="1"/>
      <c r="W141" s="1"/>
      <c r="X141" s="1"/>
      <c r="Y141" s="1"/>
      <c r="Z141" s="1"/>
    </row>
    <row r="142" ht="27.0" customHeight="1">
      <c r="A142" s="7" t="s">
        <v>918</v>
      </c>
      <c r="B142" s="7" t="s">
        <v>930</v>
      </c>
      <c r="C142" s="4" t="s">
        <v>931</v>
      </c>
      <c r="D142" s="7">
        <f>+880248117612</f>
        <v>880248117612</v>
      </c>
      <c r="E142" s="7" t="s">
        <v>932</v>
      </c>
      <c r="F142" s="7">
        <v>2012.0</v>
      </c>
      <c r="G142" s="7" t="s">
        <v>560</v>
      </c>
      <c r="H142" s="7" t="s">
        <v>933</v>
      </c>
      <c r="I142" s="8" t="s">
        <v>934</v>
      </c>
      <c r="J142" s="8" t="s">
        <v>925</v>
      </c>
      <c r="K142" s="7">
        <v>56.0</v>
      </c>
      <c r="L142" s="7">
        <v>56.0</v>
      </c>
      <c r="M142" s="7" t="s">
        <v>40</v>
      </c>
      <c r="N142" s="7" t="s">
        <v>40</v>
      </c>
      <c r="O142" s="10" t="s">
        <v>935</v>
      </c>
      <c r="P142" s="1"/>
      <c r="Q142" s="1"/>
      <c r="R142" s="1"/>
      <c r="S142" s="1"/>
      <c r="T142" s="1"/>
      <c r="U142" s="1"/>
      <c r="V142" s="1"/>
      <c r="W142" s="1"/>
      <c r="X142" s="1"/>
      <c r="Y142" s="1"/>
      <c r="Z142" s="1"/>
    </row>
    <row r="143" ht="27.0" customHeight="1">
      <c r="A143" s="7" t="s">
        <v>918</v>
      </c>
      <c r="B143" s="7" t="s">
        <v>936</v>
      </c>
      <c r="C143" s="4" t="s">
        <v>937</v>
      </c>
      <c r="D143" s="7">
        <f>+88052162332</f>
        <v>88052162332</v>
      </c>
      <c r="E143" s="7" t="s">
        <v>938</v>
      </c>
      <c r="F143" s="7">
        <v>2012.0</v>
      </c>
      <c r="G143" s="7" t="s">
        <v>375</v>
      </c>
      <c r="H143" s="7" t="s">
        <v>376</v>
      </c>
      <c r="I143" s="5" t="s">
        <v>939</v>
      </c>
      <c r="J143" s="8" t="s">
        <v>925</v>
      </c>
      <c r="K143" s="7">
        <v>52.0</v>
      </c>
      <c r="L143" s="7">
        <v>52.0</v>
      </c>
      <c r="M143" s="7" t="s">
        <v>40</v>
      </c>
      <c r="N143" s="7" t="s">
        <v>40</v>
      </c>
      <c r="O143" s="10" t="s">
        <v>935</v>
      </c>
      <c r="P143" s="1"/>
      <c r="Q143" s="1"/>
      <c r="R143" s="1"/>
      <c r="S143" s="1"/>
      <c r="T143" s="1"/>
      <c r="U143" s="1"/>
      <c r="V143" s="1"/>
      <c r="W143" s="1"/>
      <c r="X143" s="1"/>
      <c r="Y143" s="1"/>
      <c r="Z143" s="1"/>
    </row>
    <row r="144" ht="27.0" customHeight="1">
      <c r="A144" s="7" t="s">
        <v>918</v>
      </c>
      <c r="B144" s="7" t="s">
        <v>940</v>
      </c>
      <c r="C144" s="4" t="s">
        <v>941</v>
      </c>
      <c r="D144" s="7">
        <f>+880721772150</f>
        <v>880721772150</v>
      </c>
      <c r="E144" s="7" t="s">
        <v>942</v>
      </c>
      <c r="F144" s="7">
        <v>1989.0</v>
      </c>
      <c r="G144" s="7" t="s">
        <v>394</v>
      </c>
      <c r="H144" s="7" t="s">
        <v>943</v>
      </c>
      <c r="I144" s="8" t="s">
        <v>944</v>
      </c>
      <c r="J144" s="8" t="s">
        <v>925</v>
      </c>
      <c r="K144" s="7">
        <v>59.0</v>
      </c>
      <c r="L144" s="7">
        <v>59.0</v>
      </c>
      <c r="M144" s="7" t="s">
        <v>40</v>
      </c>
      <c r="N144" s="7" t="s">
        <v>40</v>
      </c>
      <c r="O144" s="10" t="s">
        <v>935</v>
      </c>
      <c r="P144" s="1"/>
      <c r="Q144" s="1"/>
      <c r="R144" s="1"/>
      <c r="S144" s="1"/>
      <c r="T144" s="1"/>
      <c r="U144" s="1"/>
      <c r="V144" s="1"/>
      <c r="W144" s="1"/>
      <c r="X144" s="1"/>
      <c r="Y144" s="1"/>
      <c r="Z144" s="1"/>
    </row>
    <row r="145" ht="27.0" customHeight="1">
      <c r="A145" s="7" t="s">
        <v>918</v>
      </c>
      <c r="B145" s="7" t="s">
        <v>945</v>
      </c>
      <c r="C145" s="4" t="s">
        <v>946</v>
      </c>
      <c r="D145" s="7">
        <f>+8809166063</f>
        <v>8809166063</v>
      </c>
      <c r="E145" s="7" t="s">
        <v>947</v>
      </c>
      <c r="F145" s="7">
        <v>2012.0</v>
      </c>
      <c r="G145" s="7" t="s">
        <v>948</v>
      </c>
      <c r="H145" s="7" t="s">
        <v>432</v>
      </c>
      <c r="I145" s="8" t="s">
        <v>949</v>
      </c>
      <c r="J145" s="8" t="s">
        <v>925</v>
      </c>
      <c r="K145" s="7">
        <v>52.0</v>
      </c>
      <c r="L145" s="7">
        <v>52.0</v>
      </c>
      <c r="M145" s="7" t="s">
        <v>40</v>
      </c>
      <c r="N145" s="7" t="s">
        <v>40</v>
      </c>
      <c r="O145" s="10" t="s">
        <v>935</v>
      </c>
      <c r="P145" s="1"/>
      <c r="Q145" s="1"/>
      <c r="R145" s="1"/>
      <c r="S145" s="1"/>
      <c r="T145" s="1"/>
      <c r="U145" s="1"/>
      <c r="V145" s="1"/>
      <c r="W145" s="1"/>
      <c r="X145" s="1"/>
      <c r="Y145" s="1"/>
      <c r="Z145" s="1"/>
    </row>
    <row r="146" ht="27.0" customHeight="1">
      <c r="A146" s="7" t="s">
        <v>918</v>
      </c>
      <c r="B146" s="7" t="s">
        <v>950</v>
      </c>
      <c r="C146" s="4" t="s">
        <v>951</v>
      </c>
      <c r="D146" s="7">
        <f>+880821714324</f>
        <v>880821714324</v>
      </c>
      <c r="E146" s="7" t="s">
        <v>952</v>
      </c>
      <c r="F146" s="7">
        <v>2012.0</v>
      </c>
      <c r="G146" s="7" t="s">
        <v>953</v>
      </c>
      <c r="H146" s="7" t="s">
        <v>954</v>
      </c>
      <c r="I146" s="5" t="s">
        <v>955</v>
      </c>
      <c r="J146" s="8" t="s">
        <v>925</v>
      </c>
      <c r="K146" s="7">
        <v>52.0</v>
      </c>
      <c r="L146" s="7">
        <v>52.0</v>
      </c>
      <c r="M146" s="7" t="s">
        <v>40</v>
      </c>
      <c r="N146" s="7" t="s">
        <v>40</v>
      </c>
      <c r="O146" s="10" t="s">
        <v>935</v>
      </c>
      <c r="P146" s="1"/>
      <c r="Q146" s="1"/>
      <c r="R146" s="1"/>
      <c r="S146" s="1"/>
      <c r="T146" s="1"/>
      <c r="U146" s="1"/>
      <c r="V146" s="1"/>
      <c r="W146" s="1"/>
      <c r="X146" s="1"/>
      <c r="Y146" s="1"/>
      <c r="Z146" s="1"/>
    </row>
    <row r="147" ht="27.0" customHeight="1">
      <c r="A147" s="7" t="s">
        <v>918</v>
      </c>
      <c r="B147" s="7" t="s">
        <v>956</v>
      </c>
      <c r="C147" s="4" t="s">
        <v>957</v>
      </c>
      <c r="D147" s="7">
        <f>+8801967117515</f>
        <v>8801967117515</v>
      </c>
      <c r="E147" s="7" t="s">
        <v>958</v>
      </c>
      <c r="F147" s="7">
        <v>1960.0</v>
      </c>
      <c r="G147" s="7" t="s">
        <v>959</v>
      </c>
      <c r="H147" s="7" t="s">
        <v>960</v>
      </c>
      <c r="I147" s="8" t="s">
        <v>961</v>
      </c>
      <c r="J147" s="8" t="s">
        <v>925</v>
      </c>
      <c r="K147" s="7">
        <v>110.0</v>
      </c>
      <c r="L147" s="7">
        <v>110.0</v>
      </c>
      <c r="M147" s="7" t="s">
        <v>40</v>
      </c>
      <c r="N147" s="7" t="s">
        <v>40</v>
      </c>
      <c r="O147" s="10" t="s">
        <v>935</v>
      </c>
      <c r="P147" s="1"/>
      <c r="Q147" s="1"/>
      <c r="R147" s="1"/>
      <c r="S147" s="1"/>
      <c r="T147" s="1"/>
      <c r="U147" s="1"/>
      <c r="V147" s="1"/>
      <c r="W147" s="1"/>
      <c r="X147" s="1"/>
      <c r="Y147" s="1"/>
      <c r="Z147" s="1"/>
    </row>
    <row r="148" ht="27.0" customHeight="1">
      <c r="A148" s="7" t="s">
        <v>918</v>
      </c>
      <c r="B148" s="7" t="s">
        <v>962</v>
      </c>
      <c r="C148" s="4" t="s">
        <v>963</v>
      </c>
      <c r="D148" s="7">
        <f>+88031616497</f>
        <v>88031616497</v>
      </c>
      <c r="E148" s="7" t="s">
        <v>964</v>
      </c>
      <c r="F148" s="7">
        <v>1990.0</v>
      </c>
      <c r="G148" s="7" t="s">
        <v>965</v>
      </c>
      <c r="H148" s="7" t="s">
        <v>966</v>
      </c>
      <c r="I148" s="8" t="s">
        <v>967</v>
      </c>
      <c r="J148" s="8" t="s">
        <v>925</v>
      </c>
      <c r="K148" s="7">
        <v>60.0</v>
      </c>
      <c r="L148" s="7">
        <v>60.0</v>
      </c>
      <c r="M148" s="7" t="s">
        <v>40</v>
      </c>
      <c r="N148" s="7" t="s">
        <v>40</v>
      </c>
      <c r="O148" s="10" t="s">
        <v>935</v>
      </c>
      <c r="P148" s="1"/>
      <c r="Q148" s="1"/>
      <c r="R148" s="1"/>
      <c r="S148" s="1"/>
      <c r="T148" s="1"/>
      <c r="U148" s="1"/>
      <c r="V148" s="1"/>
      <c r="W148" s="1"/>
      <c r="X148" s="1"/>
      <c r="Y148" s="1"/>
      <c r="Z148" s="1"/>
    </row>
    <row r="149" ht="27.0" customHeight="1">
      <c r="A149" s="14" t="s">
        <v>968</v>
      </c>
      <c r="B149" s="9" t="s">
        <v>969</v>
      </c>
      <c r="C149" s="4" t="s">
        <v>970</v>
      </c>
      <c r="D149" s="9">
        <v>8.801715055006E12</v>
      </c>
      <c r="E149" s="9" t="s">
        <v>971</v>
      </c>
      <c r="F149" s="9">
        <v>2011.0</v>
      </c>
      <c r="G149" s="9" t="s">
        <v>449</v>
      </c>
      <c r="H149" s="9" t="s">
        <v>972</v>
      </c>
      <c r="I149" s="11" t="s">
        <v>973</v>
      </c>
      <c r="J149" s="11" t="s">
        <v>974</v>
      </c>
      <c r="K149" s="9">
        <v>100.0</v>
      </c>
      <c r="L149" s="9">
        <v>100.0</v>
      </c>
      <c r="M149" s="9" t="s">
        <v>40</v>
      </c>
      <c r="N149" s="9" t="s">
        <v>40</v>
      </c>
      <c r="O149" s="10" t="s">
        <v>935</v>
      </c>
      <c r="P149" s="3"/>
      <c r="Q149" s="3"/>
      <c r="R149" s="3"/>
      <c r="S149" s="3"/>
      <c r="T149" s="3"/>
      <c r="U149" s="3"/>
      <c r="V149" s="3"/>
      <c r="W149" s="3"/>
      <c r="X149" s="3"/>
      <c r="Y149" s="3"/>
      <c r="Z149" s="3"/>
    </row>
    <row r="150" ht="27.0" customHeight="1">
      <c r="A150" s="14" t="s">
        <v>968</v>
      </c>
      <c r="B150" s="9" t="s">
        <v>975</v>
      </c>
      <c r="C150" s="4" t="s">
        <v>976</v>
      </c>
      <c r="D150" s="9">
        <v>8.801718136377E12</v>
      </c>
      <c r="E150" s="9" t="s">
        <v>977</v>
      </c>
      <c r="F150" s="9">
        <v>2011.0</v>
      </c>
      <c r="G150" s="9" t="s">
        <v>375</v>
      </c>
      <c r="H150" s="9" t="s">
        <v>978</v>
      </c>
      <c r="I150" s="11" t="s">
        <v>973</v>
      </c>
      <c r="J150" s="11" t="s">
        <v>974</v>
      </c>
      <c r="K150" s="9">
        <v>100.0</v>
      </c>
      <c r="L150" s="9">
        <v>100.0</v>
      </c>
      <c r="M150" s="9" t="s">
        <v>40</v>
      </c>
      <c r="N150" s="9" t="s">
        <v>40</v>
      </c>
      <c r="O150" s="10" t="s">
        <v>935</v>
      </c>
      <c r="P150" s="3"/>
      <c r="Q150" s="3"/>
      <c r="R150" s="3"/>
      <c r="S150" s="3"/>
      <c r="T150" s="3"/>
      <c r="U150" s="3"/>
      <c r="V150" s="3"/>
      <c r="W150" s="3"/>
      <c r="X150" s="3"/>
      <c r="Y150" s="3"/>
      <c r="Z150" s="3"/>
    </row>
    <row r="151" ht="27.0" customHeight="1">
      <c r="A151" s="14" t="s">
        <v>968</v>
      </c>
      <c r="B151" s="9" t="s">
        <v>979</v>
      </c>
      <c r="C151" s="4" t="s">
        <v>980</v>
      </c>
      <c r="D151" s="9">
        <v>8.801715052988E12</v>
      </c>
      <c r="E151" s="9" t="s">
        <v>981</v>
      </c>
      <c r="F151" s="9">
        <v>2008.0</v>
      </c>
      <c r="G151" s="9" t="s">
        <v>982</v>
      </c>
      <c r="H151" s="9" t="s">
        <v>983</v>
      </c>
      <c r="I151" s="11" t="s">
        <v>973</v>
      </c>
      <c r="J151" s="11" t="s">
        <v>974</v>
      </c>
      <c r="K151" s="9">
        <v>100.0</v>
      </c>
      <c r="L151" s="9">
        <v>100.0</v>
      </c>
      <c r="M151" s="9" t="s">
        <v>40</v>
      </c>
      <c r="N151" s="9" t="s">
        <v>40</v>
      </c>
      <c r="O151" s="16" t="s">
        <v>984</v>
      </c>
      <c r="P151" s="3"/>
      <c r="Q151" s="3"/>
      <c r="R151" s="3"/>
      <c r="S151" s="3"/>
      <c r="T151" s="3"/>
      <c r="U151" s="3"/>
      <c r="V151" s="3"/>
      <c r="W151" s="3"/>
      <c r="X151" s="3"/>
      <c r="Y151" s="3"/>
      <c r="Z151" s="3"/>
    </row>
    <row r="152" ht="27.0" customHeight="1">
      <c r="A152" s="14" t="s">
        <v>968</v>
      </c>
      <c r="B152" s="9" t="s">
        <v>985</v>
      </c>
      <c r="C152" s="4" t="s">
        <v>986</v>
      </c>
      <c r="D152" s="9">
        <v>8.8056152431E10</v>
      </c>
      <c r="E152" s="9" t="s">
        <v>987</v>
      </c>
      <c r="F152" s="9">
        <v>1970.0</v>
      </c>
      <c r="G152" s="9" t="s">
        <v>988</v>
      </c>
      <c r="H152" s="9" t="s">
        <v>989</v>
      </c>
      <c r="I152" s="11" t="s">
        <v>973</v>
      </c>
      <c r="J152" s="11" t="s">
        <v>974</v>
      </c>
      <c r="K152" s="9">
        <v>80.0</v>
      </c>
      <c r="L152" s="9">
        <v>80.0</v>
      </c>
      <c r="M152" s="9" t="s">
        <v>40</v>
      </c>
      <c r="N152" s="9" t="s">
        <v>40</v>
      </c>
      <c r="O152" s="16" t="s">
        <v>984</v>
      </c>
      <c r="P152" s="3"/>
      <c r="Q152" s="3"/>
      <c r="R152" s="3"/>
      <c r="S152" s="3"/>
      <c r="T152" s="3"/>
      <c r="U152" s="3"/>
      <c r="V152" s="3"/>
      <c r="W152" s="3"/>
      <c r="X152" s="3"/>
      <c r="Y152" s="3"/>
      <c r="Z152" s="3"/>
    </row>
    <row r="153" ht="27.0" customHeight="1">
      <c r="A153" s="14" t="s">
        <v>968</v>
      </c>
      <c r="B153" s="9" t="s">
        <v>990</v>
      </c>
      <c r="C153" s="4" t="s">
        <v>991</v>
      </c>
      <c r="D153" s="9">
        <v>8.8092161301E10</v>
      </c>
      <c r="E153" s="9" t="s">
        <v>992</v>
      </c>
      <c r="F153" s="9">
        <v>1970.0</v>
      </c>
      <c r="G153" s="9" t="s">
        <v>327</v>
      </c>
      <c r="H153" s="9" t="s">
        <v>993</v>
      </c>
      <c r="I153" s="11" t="s">
        <v>973</v>
      </c>
      <c r="J153" s="11" t="s">
        <v>974</v>
      </c>
      <c r="K153" s="9">
        <v>80.0</v>
      </c>
      <c r="L153" s="9">
        <v>80.0</v>
      </c>
      <c r="M153" s="9" t="s">
        <v>40</v>
      </c>
      <c r="N153" s="9" t="s">
        <v>40</v>
      </c>
      <c r="O153" s="16" t="s">
        <v>984</v>
      </c>
      <c r="P153" s="3"/>
      <c r="Q153" s="3"/>
      <c r="R153" s="3"/>
      <c r="S153" s="3"/>
      <c r="T153" s="3"/>
      <c r="U153" s="3"/>
      <c r="V153" s="3"/>
      <c r="W153" s="3"/>
      <c r="X153" s="3"/>
      <c r="Y153" s="3"/>
      <c r="Z153" s="3"/>
    </row>
    <row r="154" ht="27.0" customHeight="1">
      <c r="A154" s="14" t="s">
        <v>968</v>
      </c>
      <c r="B154" s="9" t="s">
        <v>994</v>
      </c>
      <c r="C154" s="4" t="s">
        <v>995</v>
      </c>
      <c r="D154" s="9">
        <v>8.8075164471E10</v>
      </c>
      <c r="E154" s="9" t="s">
        <v>996</v>
      </c>
      <c r="F154" s="9">
        <v>1970.0</v>
      </c>
      <c r="G154" s="9" t="s">
        <v>363</v>
      </c>
      <c r="H154" s="9" t="s">
        <v>997</v>
      </c>
      <c r="I154" s="11" t="s">
        <v>973</v>
      </c>
      <c r="J154" s="11" t="s">
        <v>974</v>
      </c>
      <c r="K154" s="9">
        <v>100.0</v>
      </c>
      <c r="L154" s="9">
        <v>100.0</v>
      </c>
      <c r="M154" s="9" t="s">
        <v>40</v>
      </c>
      <c r="N154" s="9" t="s">
        <v>40</v>
      </c>
      <c r="O154" s="16" t="s">
        <v>984</v>
      </c>
      <c r="P154" s="3"/>
      <c r="Q154" s="3"/>
      <c r="R154" s="3"/>
      <c r="S154" s="3"/>
      <c r="T154" s="3"/>
      <c r="U154" s="3"/>
      <c r="V154" s="3"/>
      <c r="W154" s="3"/>
      <c r="X154" s="3"/>
      <c r="Y154" s="3"/>
      <c r="Z154" s="3"/>
    </row>
    <row r="155" ht="27.0" customHeight="1">
      <c r="A155" s="14" t="s">
        <v>968</v>
      </c>
      <c r="B155" s="9" t="s">
        <v>998</v>
      </c>
      <c r="C155" s="4" t="s">
        <v>999</v>
      </c>
      <c r="D155" s="9">
        <v>8.8093161241E10</v>
      </c>
      <c r="E155" s="9" t="s">
        <v>1000</v>
      </c>
      <c r="F155" s="9">
        <v>1970.0</v>
      </c>
      <c r="G155" s="9" t="s">
        <v>1001</v>
      </c>
      <c r="H155" s="9" t="s">
        <v>1002</v>
      </c>
      <c r="I155" s="11" t="s">
        <v>973</v>
      </c>
      <c r="J155" s="11" t="s">
        <v>974</v>
      </c>
      <c r="K155" s="9">
        <v>80.0</v>
      </c>
      <c r="L155" s="9">
        <v>80.0</v>
      </c>
      <c r="M155" s="9" t="s">
        <v>40</v>
      </c>
      <c r="N155" s="9" t="s">
        <v>40</v>
      </c>
      <c r="O155" s="16" t="s">
        <v>984</v>
      </c>
      <c r="P155" s="3"/>
      <c r="Q155" s="3"/>
      <c r="R155" s="3"/>
      <c r="S155" s="3"/>
      <c r="T155" s="3"/>
      <c r="U155" s="3"/>
      <c r="V155" s="3"/>
      <c r="W155" s="3"/>
      <c r="X155" s="3"/>
      <c r="Y155" s="3"/>
      <c r="Z155" s="3"/>
    </row>
    <row r="156" ht="27.0" customHeight="1">
      <c r="A156" s="14" t="s">
        <v>968</v>
      </c>
      <c r="B156" s="9" t="s">
        <v>1003</v>
      </c>
      <c r="C156" s="4" t="s">
        <v>1004</v>
      </c>
      <c r="D156" s="9">
        <v>8.8047164402E10</v>
      </c>
      <c r="E156" s="9" t="s">
        <v>1005</v>
      </c>
      <c r="F156" s="9">
        <v>1970.0</v>
      </c>
      <c r="G156" s="9" t="s">
        <v>369</v>
      </c>
      <c r="H156" s="9" t="s">
        <v>1006</v>
      </c>
      <c r="I156" s="11" t="s">
        <v>973</v>
      </c>
      <c r="J156" s="11" t="s">
        <v>974</v>
      </c>
      <c r="K156" s="9">
        <v>80.0</v>
      </c>
      <c r="L156" s="9">
        <v>80.0</v>
      </c>
      <c r="M156" s="9" t="s">
        <v>40</v>
      </c>
      <c r="N156" s="9" t="s">
        <v>40</v>
      </c>
      <c r="O156" s="16" t="s">
        <v>984</v>
      </c>
      <c r="P156" s="3"/>
      <c r="Q156" s="3"/>
      <c r="R156" s="3"/>
      <c r="S156" s="3"/>
      <c r="T156" s="3"/>
      <c r="U156" s="3"/>
      <c r="V156" s="3"/>
      <c r="W156" s="3"/>
      <c r="X156" s="3"/>
      <c r="Y156" s="3"/>
      <c r="Z156" s="3"/>
    </row>
    <row r="157" ht="27.0" customHeight="1">
      <c r="A157" s="14" t="s">
        <v>968</v>
      </c>
      <c r="B157" s="9" t="s">
        <v>1007</v>
      </c>
      <c r="C157" s="4" t="s">
        <v>1008</v>
      </c>
      <c r="D157" s="9">
        <v>8.8035161042E10</v>
      </c>
      <c r="E157" s="9" t="s">
        <v>1009</v>
      </c>
      <c r="F157" s="9">
        <v>1970.0</v>
      </c>
      <c r="G157" s="9" t="s">
        <v>381</v>
      </c>
      <c r="H157" s="9" t="s">
        <v>1010</v>
      </c>
      <c r="I157" s="11" t="s">
        <v>973</v>
      </c>
      <c r="J157" s="11" t="s">
        <v>974</v>
      </c>
      <c r="K157" s="9">
        <v>80.0</v>
      </c>
      <c r="L157" s="9">
        <v>80.0</v>
      </c>
      <c r="M157" s="9" t="s">
        <v>40</v>
      </c>
      <c r="N157" s="9" t="s">
        <v>40</v>
      </c>
      <c r="O157" s="16" t="s">
        <v>984</v>
      </c>
      <c r="P157" s="3"/>
      <c r="Q157" s="3"/>
      <c r="R157" s="3"/>
      <c r="S157" s="3"/>
      <c r="T157" s="3"/>
      <c r="U157" s="3"/>
      <c r="V157" s="3"/>
      <c r="W157" s="3"/>
      <c r="X157" s="3"/>
      <c r="Y157" s="3"/>
      <c r="Z157" s="3"/>
    </row>
    <row r="158" ht="27.0" customHeight="1">
      <c r="A158" s="14" t="s">
        <v>968</v>
      </c>
      <c r="B158" s="9" t="s">
        <v>1011</v>
      </c>
      <c r="C158" s="4" t="s">
        <v>1012</v>
      </c>
      <c r="D158" s="9">
        <v>8.8064165421E10</v>
      </c>
      <c r="E158" s="9" t="s">
        <v>1013</v>
      </c>
      <c r="F158" s="9">
        <v>1970.0</v>
      </c>
      <c r="G158" s="9" t="s">
        <v>1014</v>
      </c>
      <c r="H158" s="9" t="s">
        <v>1015</v>
      </c>
      <c r="I158" s="11" t="s">
        <v>973</v>
      </c>
      <c r="J158" s="11" t="s">
        <v>974</v>
      </c>
      <c r="K158" s="9">
        <v>100.0</v>
      </c>
      <c r="L158" s="9">
        <v>100.0</v>
      </c>
      <c r="M158" s="9" t="s">
        <v>40</v>
      </c>
      <c r="N158" s="9" t="s">
        <v>40</v>
      </c>
      <c r="O158" s="16" t="s">
        <v>984</v>
      </c>
      <c r="P158" s="3"/>
      <c r="Q158" s="3"/>
      <c r="R158" s="3"/>
      <c r="S158" s="3"/>
      <c r="T158" s="3"/>
      <c r="U158" s="3"/>
      <c r="V158" s="3"/>
      <c r="W158" s="3"/>
      <c r="X158" s="3"/>
      <c r="Y158" s="3"/>
      <c r="Z158" s="3"/>
    </row>
    <row r="159" ht="27.0" customHeight="1">
      <c r="A159" s="14" t="s">
        <v>968</v>
      </c>
      <c r="B159" s="9" t="s">
        <v>1016</v>
      </c>
      <c r="C159" s="4" t="s">
        <v>1017</v>
      </c>
      <c r="D159" s="9">
        <v>8.80461623E10</v>
      </c>
      <c r="E159" s="9" t="s">
        <v>1018</v>
      </c>
      <c r="F159" s="9">
        <v>1970.0</v>
      </c>
      <c r="G159" s="9" t="s">
        <v>1019</v>
      </c>
      <c r="H159" s="9" t="s">
        <v>1020</v>
      </c>
      <c r="I159" s="11" t="s">
        <v>973</v>
      </c>
      <c r="J159" s="11" t="s">
        <v>974</v>
      </c>
      <c r="K159" s="9">
        <v>50.0</v>
      </c>
      <c r="L159" s="9">
        <v>50.0</v>
      </c>
      <c r="M159" s="9" t="s">
        <v>40</v>
      </c>
      <c r="N159" s="9" t="s">
        <v>40</v>
      </c>
      <c r="O159" s="16" t="s">
        <v>984</v>
      </c>
      <c r="P159" s="3"/>
      <c r="Q159" s="3"/>
      <c r="R159" s="3"/>
      <c r="S159" s="3"/>
      <c r="T159" s="3"/>
      <c r="U159" s="3"/>
      <c r="V159" s="3"/>
      <c r="W159" s="3"/>
      <c r="X159" s="3"/>
      <c r="Y159" s="3"/>
      <c r="Z159" s="3"/>
    </row>
    <row r="160" ht="27.0" customHeight="1">
      <c r="A160" s="14" t="s">
        <v>968</v>
      </c>
      <c r="B160" s="9" t="s">
        <v>1021</v>
      </c>
      <c r="C160" s="4" t="s">
        <v>1022</v>
      </c>
      <c r="D160" s="9">
        <v>8.80441634E10</v>
      </c>
      <c r="E160" s="9" t="s">
        <v>1023</v>
      </c>
      <c r="F160" s="9">
        <v>1970.0</v>
      </c>
      <c r="G160" s="9" t="s">
        <v>400</v>
      </c>
      <c r="H160" s="9" t="s">
        <v>1024</v>
      </c>
      <c r="I160" s="11" t="s">
        <v>973</v>
      </c>
      <c r="J160" s="11" t="s">
        <v>974</v>
      </c>
      <c r="K160" s="9">
        <v>80.0</v>
      </c>
      <c r="L160" s="9">
        <v>80.0</v>
      </c>
      <c r="M160" s="9" t="s">
        <v>40</v>
      </c>
      <c r="N160" s="9" t="s">
        <v>40</v>
      </c>
      <c r="O160" s="16" t="s">
        <v>984</v>
      </c>
      <c r="P160" s="3"/>
      <c r="Q160" s="3"/>
      <c r="R160" s="3"/>
      <c r="S160" s="3"/>
      <c r="T160" s="3"/>
      <c r="U160" s="3"/>
      <c r="V160" s="3"/>
      <c r="W160" s="3"/>
      <c r="X160" s="3"/>
      <c r="Y160" s="3"/>
      <c r="Z160" s="3"/>
    </row>
    <row r="161" ht="27.0" customHeight="1">
      <c r="A161" s="14" t="s">
        <v>968</v>
      </c>
      <c r="B161" s="9" t="s">
        <v>1025</v>
      </c>
      <c r="C161" s="4" t="s">
        <v>1026</v>
      </c>
      <c r="D161" s="9">
        <v>8.80172189878E12</v>
      </c>
      <c r="E161" s="9" t="s">
        <v>1027</v>
      </c>
      <c r="F161" s="9">
        <v>1970.0</v>
      </c>
      <c r="G161" s="9" t="s">
        <v>1028</v>
      </c>
      <c r="H161" s="9" t="s">
        <v>1029</v>
      </c>
      <c r="I161" s="11" t="s">
        <v>973</v>
      </c>
      <c r="J161" s="11" t="s">
        <v>974</v>
      </c>
      <c r="K161" s="9">
        <v>50.0</v>
      </c>
      <c r="L161" s="9">
        <v>50.0</v>
      </c>
      <c r="M161" s="9" t="s">
        <v>40</v>
      </c>
      <c r="N161" s="9" t="s">
        <v>40</v>
      </c>
      <c r="O161" s="16" t="s">
        <v>984</v>
      </c>
      <c r="P161" s="3"/>
      <c r="Q161" s="3"/>
      <c r="R161" s="3"/>
      <c r="S161" s="3"/>
      <c r="T161" s="3"/>
      <c r="U161" s="3"/>
      <c r="V161" s="3"/>
      <c r="W161" s="3"/>
      <c r="X161" s="3"/>
      <c r="Y161" s="3"/>
      <c r="Z161" s="3"/>
    </row>
    <row r="162" ht="27.0" customHeight="1">
      <c r="A162" s="14" t="s">
        <v>968</v>
      </c>
      <c r="B162" s="9" t="s">
        <v>1030</v>
      </c>
      <c r="C162" s="4" t="s">
        <v>1031</v>
      </c>
      <c r="D162" s="9">
        <v>8.8073164923E10</v>
      </c>
      <c r="E162" s="9" t="s">
        <v>1032</v>
      </c>
      <c r="F162" s="9">
        <v>1970.0</v>
      </c>
      <c r="G162" s="9" t="s">
        <v>1033</v>
      </c>
      <c r="H162" s="9" t="s">
        <v>1034</v>
      </c>
      <c r="I162" s="11" t="s">
        <v>973</v>
      </c>
      <c r="J162" s="11" t="s">
        <v>974</v>
      </c>
      <c r="K162" s="9">
        <v>100.0</v>
      </c>
      <c r="L162" s="9">
        <v>100.0</v>
      </c>
      <c r="M162" s="9" t="s">
        <v>40</v>
      </c>
      <c r="N162" s="9" t="s">
        <v>40</v>
      </c>
      <c r="O162" s="16" t="s">
        <v>984</v>
      </c>
      <c r="P162" s="3"/>
      <c r="Q162" s="3"/>
      <c r="R162" s="3"/>
      <c r="S162" s="3"/>
      <c r="T162" s="3"/>
      <c r="U162" s="3"/>
      <c r="V162" s="3"/>
      <c r="W162" s="3"/>
      <c r="X162" s="3"/>
      <c r="Y162" s="3"/>
      <c r="Z162" s="3"/>
    </row>
    <row r="163" ht="27.0" customHeight="1">
      <c r="A163" s="14" t="s">
        <v>968</v>
      </c>
      <c r="B163" s="9" t="s">
        <v>1035</v>
      </c>
      <c r="C163" s="4" t="s">
        <v>1036</v>
      </c>
      <c r="D163" s="9">
        <v>8.8032162621E10</v>
      </c>
      <c r="E163" s="9" t="s">
        <v>1037</v>
      </c>
      <c r="F163" s="9">
        <v>1970.0</v>
      </c>
      <c r="G163" s="9" t="s">
        <v>547</v>
      </c>
      <c r="H163" s="9" t="s">
        <v>1038</v>
      </c>
      <c r="I163" s="11" t="s">
        <v>973</v>
      </c>
      <c r="J163" s="11" t="s">
        <v>974</v>
      </c>
      <c r="K163" s="9">
        <v>100.0</v>
      </c>
      <c r="L163" s="9">
        <v>100.0</v>
      </c>
      <c r="M163" s="9" t="s">
        <v>40</v>
      </c>
      <c r="N163" s="9" t="s">
        <v>40</v>
      </c>
      <c r="O163" s="16" t="s">
        <v>984</v>
      </c>
      <c r="P163" s="3"/>
      <c r="Q163" s="3"/>
      <c r="R163" s="3"/>
      <c r="S163" s="3"/>
      <c r="T163" s="3"/>
      <c r="U163" s="3"/>
      <c r="V163" s="3"/>
      <c r="W163" s="3"/>
      <c r="X163" s="3"/>
      <c r="Y163" s="3"/>
      <c r="Z163" s="3"/>
    </row>
    <row r="164" ht="27.0" customHeight="1">
      <c r="A164" s="14" t="s">
        <v>968</v>
      </c>
      <c r="B164" s="9" t="s">
        <v>1039</v>
      </c>
      <c r="C164" s="4" t="s">
        <v>1040</v>
      </c>
      <c r="D164" s="9">
        <v>8.80551614E10</v>
      </c>
      <c r="E164" s="9" t="s">
        <v>1041</v>
      </c>
      <c r="F164" s="9">
        <v>1970.0</v>
      </c>
      <c r="G164" s="9" t="s">
        <v>412</v>
      </c>
      <c r="H164" s="9" t="s">
        <v>1042</v>
      </c>
      <c r="I164" s="11" t="s">
        <v>973</v>
      </c>
      <c r="J164" s="11" t="s">
        <v>974</v>
      </c>
      <c r="K164" s="9">
        <v>50.0</v>
      </c>
      <c r="L164" s="9">
        <v>50.0</v>
      </c>
      <c r="M164" s="9" t="s">
        <v>40</v>
      </c>
      <c r="N164" s="9" t="s">
        <v>40</v>
      </c>
      <c r="O164" s="16" t="s">
        <v>984</v>
      </c>
      <c r="P164" s="3"/>
      <c r="Q164" s="3"/>
      <c r="R164" s="3"/>
      <c r="S164" s="3"/>
      <c r="T164" s="3"/>
      <c r="U164" s="3"/>
      <c r="V164" s="3"/>
      <c r="W164" s="3"/>
      <c r="X164" s="3"/>
      <c r="Y164" s="3"/>
      <c r="Z164" s="3"/>
    </row>
    <row r="165" ht="27.0" customHeight="1">
      <c r="A165" s="14" t="s">
        <v>968</v>
      </c>
      <c r="B165" s="9" t="s">
        <v>1043</v>
      </c>
      <c r="C165" s="4" t="s">
        <v>1044</v>
      </c>
      <c r="D165" s="9">
        <v>8.8093161555E10</v>
      </c>
      <c r="E165" s="9" t="s">
        <v>1045</v>
      </c>
      <c r="F165" s="9">
        <v>1970.0</v>
      </c>
      <c r="G165" s="9" t="s">
        <v>418</v>
      </c>
      <c r="H165" s="9" t="s">
        <v>1046</v>
      </c>
      <c r="I165" s="11" t="s">
        <v>973</v>
      </c>
      <c r="J165" s="11" t="s">
        <v>974</v>
      </c>
      <c r="K165" s="9">
        <v>80.0</v>
      </c>
      <c r="L165" s="9">
        <v>80.0</v>
      </c>
      <c r="M165" s="9" t="s">
        <v>40</v>
      </c>
      <c r="N165" s="9" t="s">
        <v>40</v>
      </c>
      <c r="O165" s="16" t="s">
        <v>984</v>
      </c>
      <c r="P165" s="3"/>
      <c r="Q165" s="3"/>
      <c r="R165" s="3"/>
      <c r="S165" s="3"/>
      <c r="T165" s="3"/>
      <c r="U165" s="3"/>
      <c r="V165" s="3"/>
      <c r="W165" s="3"/>
      <c r="X165" s="3"/>
      <c r="Y165" s="3"/>
      <c r="Z165" s="3"/>
    </row>
    <row r="166" ht="27.0" customHeight="1">
      <c r="A166" s="14" t="s">
        <v>968</v>
      </c>
      <c r="B166" s="9" t="s">
        <v>1047</v>
      </c>
      <c r="C166" s="4" t="s">
        <v>1048</v>
      </c>
      <c r="D166" s="9">
        <v>8.80741613E10</v>
      </c>
      <c r="E166" s="9" t="s">
        <v>1049</v>
      </c>
      <c r="F166" s="9">
        <v>1970.0</v>
      </c>
      <c r="G166" s="9" t="s">
        <v>424</v>
      </c>
      <c r="H166" s="9" t="s">
        <v>1050</v>
      </c>
      <c r="I166" s="11" t="s">
        <v>973</v>
      </c>
      <c r="J166" s="11" t="s">
        <v>974</v>
      </c>
      <c r="K166" s="9">
        <v>50.0</v>
      </c>
      <c r="L166" s="9">
        <v>50.0</v>
      </c>
      <c r="M166" s="9" t="s">
        <v>40</v>
      </c>
      <c r="N166" s="9" t="s">
        <v>40</v>
      </c>
      <c r="O166" s="16" t="s">
        <v>984</v>
      </c>
      <c r="P166" s="3"/>
      <c r="Q166" s="3"/>
      <c r="R166" s="3"/>
      <c r="S166" s="3"/>
      <c r="T166" s="3"/>
      <c r="U166" s="3"/>
      <c r="V166" s="3"/>
      <c r="W166" s="3"/>
      <c r="X166" s="3"/>
      <c r="Y166" s="3"/>
      <c r="Z166" s="3"/>
    </row>
    <row r="167" ht="27.0" customHeight="1">
      <c r="A167" s="14" t="s">
        <v>968</v>
      </c>
      <c r="B167" s="9" t="s">
        <v>1051</v>
      </c>
      <c r="C167" s="4" t="s">
        <v>1052</v>
      </c>
      <c r="D167" s="9">
        <v>8.8027611032E10</v>
      </c>
      <c r="E167" s="9" t="s">
        <v>1053</v>
      </c>
      <c r="F167" s="9">
        <v>1970.0</v>
      </c>
      <c r="G167" s="9" t="s">
        <v>1054</v>
      </c>
      <c r="H167" s="9" t="s">
        <v>1055</v>
      </c>
      <c r="I167" s="11" t="s">
        <v>973</v>
      </c>
      <c r="J167" s="11" t="s">
        <v>974</v>
      </c>
      <c r="K167" s="9">
        <v>100.0</v>
      </c>
      <c r="L167" s="9">
        <v>100.0</v>
      </c>
      <c r="M167" s="9" t="s">
        <v>40</v>
      </c>
      <c r="N167" s="9" t="s">
        <v>40</v>
      </c>
      <c r="O167" s="16" t="s">
        <v>984</v>
      </c>
      <c r="P167" s="3"/>
      <c r="Q167" s="3"/>
      <c r="R167" s="3"/>
      <c r="S167" s="3"/>
      <c r="T167" s="3"/>
      <c r="U167" s="3"/>
      <c r="V167" s="3"/>
      <c r="W167" s="3"/>
      <c r="X167" s="3"/>
      <c r="Y167" s="3"/>
      <c r="Z167" s="3"/>
    </row>
    <row r="168" ht="27.0" customHeight="1">
      <c r="A168" s="14" t="s">
        <v>968</v>
      </c>
      <c r="B168" s="9" t="s">
        <v>1056</v>
      </c>
      <c r="C168" s="4" t="s">
        <v>1057</v>
      </c>
      <c r="D168" s="9">
        <v>8.8086152341E10</v>
      </c>
      <c r="E168" s="9" t="s">
        <v>1058</v>
      </c>
      <c r="F168" s="9">
        <v>1970.0</v>
      </c>
      <c r="G168" s="9" t="s">
        <v>1059</v>
      </c>
      <c r="H168" s="9" t="s">
        <v>1060</v>
      </c>
      <c r="I168" s="11" t="s">
        <v>973</v>
      </c>
      <c r="J168" s="11" t="s">
        <v>974</v>
      </c>
      <c r="K168" s="9">
        <v>80.0</v>
      </c>
      <c r="L168" s="9">
        <v>80.0</v>
      </c>
      <c r="M168" s="9" t="s">
        <v>40</v>
      </c>
      <c r="N168" s="9" t="s">
        <v>40</v>
      </c>
      <c r="O168" s="16" t="s">
        <v>984</v>
      </c>
      <c r="P168" s="3"/>
      <c r="Q168" s="3"/>
      <c r="R168" s="3"/>
      <c r="S168" s="3"/>
      <c r="T168" s="3"/>
      <c r="U168" s="3"/>
      <c r="V168" s="3"/>
      <c r="W168" s="3"/>
      <c r="X168" s="3"/>
      <c r="Y168" s="3"/>
      <c r="Z168" s="3"/>
    </row>
    <row r="169" ht="27.0" customHeight="1">
      <c r="A169" s="14" t="s">
        <v>968</v>
      </c>
      <c r="B169" s="9" t="s">
        <v>1061</v>
      </c>
      <c r="C169" s="4" t="s">
        <v>1062</v>
      </c>
      <c r="D169" s="9">
        <v>8.80257316558E11</v>
      </c>
      <c r="E169" s="9" t="s">
        <v>1063</v>
      </c>
      <c r="F169" s="9">
        <v>1970.0</v>
      </c>
      <c r="G169" s="9" t="s">
        <v>309</v>
      </c>
      <c r="H169" s="9" t="s">
        <v>1064</v>
      </c>
      <c r="I169" s="11" t="s">
        <v>973</v>
      </c>
      <c r="J169" s="11" t="s">
        <v>974</v>
      </c>
      <c r="K169" s="9">
        <v>80.0</v>
      </c>
      <c r="L169" s="9">
        <v>80.0</v>
      </c>
      <c r="M169" s="9" t="s">
        <v>40</v>
      </c>
      <c r="N169" s="9" t="s">
        <v>40</v>
      </c>
      <c r="O169" s="16" t="s">
        <v>984</v>
      </c>
      <c r="P169" s="3"/>
      <c r="Q169" s="3"/>
      <c r="R169" s="3"/>
      <c r="S169" s="3"/>
      <c r="T169" s="3"/>
      <c r="U169" s="3"/>
      <c r="V169" s="3"/>
      <c r="W169" s="3"/>
      <c r="X169" s="3"/>
      <c r="Y169" s="3"/>
      <c r="Z169" s="3"/>
    </row>
    <row r="170" ht="27.0" customHeight="1">
      <c r="A170" s="14" t="s">
        <v>968</v>
      </c>
      <c r="B170" s="9" t="s">
        <v>1065</v>
      </c>
      <c r="C170" s="4" t="s">
        <v>1066</v>
      </c>
      <c r="D170" s="9">
        <v>8.80488623E10</v>
      </c>
      <c r="E170" s="9" t="s">
        <v>1067</v>
      </c>
      <c r="F170" s="9">
        <v>1970.0</v>
      </c>
      <c r="G170" s="9" t="s">
        <v>443</v>
      </c>
      <c r="H170" s="9" t="s">
        <v>1068</v>
      </c>
      <c r="I170" s="11" t="s">
        <v>973</v>
      </c>
      <c r="J170" s="11" t="s">
        <v>974</v>
      </c>
      <c r="K170" s="9">
        <v>50.0</v>
      </c>
      <c r="L170" s="9">
        <v>50.0</v>
      </c>
      <c r="M170" s="9" t="s">
        <v>40</v>
      </c>
      <c r="N170" s="9" t="s">
        <v>40</v>
      </c>
      <c r="O170" s="16" t="s">
        <v>984</v>
      </c>
      <c r="P170" s="3"/>
      <c r="Q170" s="3"/>
      <c r="R170" s="3"/>
      <c r="S170" s="3"/>
      <c r="T170" s="3"/>
      <c r="U170" s="3"/>
      <c r="V170" s="3"/>
      <c r="W170" s="3"/>
      <c r="X170" s="3"/>
      <c r="Y170" s="3"/>
      <c r="Z170" s="3"/>
    </row>
    <row r="171" ht="27.0" customHeight="1">
      <c r="A171" s="14" t="s">
        <v>968</v>
      </c>
      <c r="B171" s="9" t="s">
        <v>1069</v>
      </c>
      <c r="C171" s="4" t="s">
        <v>1070</v>
      </c>
      <c r="D171" s="9">
        <v>8.80661613E10</v>
      </c>
      <c r="E171" s="9" t="s">
        <v>1071</v>
      </c>
      <c r="F171" s="9">
        <v>1970.0</v>
      </c>
      <c r="G171" s="9" t="s">
        <v>1072</v>
      </c>
      <c r="H171" s="9" t="s">
        <v>1073</v>
      </c>
      <c r="I171" s="11" t="s">
        <v>973</v>
      </c>
      <c r="J171" s="11" t="s">
        <v>974</v>
      </c>
      <c r="K171" s="9">
        <v>50.0</v>
      </c>
      <c r="L171" s="9">
        <v>50.0</v>
      </c>
      <c r="M171" s="9" t="s">
        <v>40</v>
      </c>
      <c r="N171" s="9" t="s">
        <v>40</v>
      </c>
      <c r="O171" s="16" t="s">
        <v>984</v>
      </c>
      <c r="P171" s="3"/>
      <c r="Q171" s="3"/>
      <c r="R171" s="3"/>
      <c r="S171" s="3"/>
      <c r="T171" s="3"/>
      <c r="U171" s="3"/>
      <c r="V171" s="3"/>
      <c r="W171" s="3"/>
      <c r="X171" s="3"/>
      <c r="Y171" s="3"/>
      <c r="Z171" s="3"/>
    </row>
    <row r="172" ht="27.0" customHeight="1">
      <c r="A172" s="14" t="s">
        <v>968</v>
      </c>
      <c r="B172" s="9" t="s">
        <v>1074</v>
      </c>
      <c r="C172" s="4" t="s">
        <v>1075</v>
      </c>
      <c r="D172" s="9" t="s">
        <v>1076</v>
      </c>
      <c r="E172" s="9" t="s">
        <v>1077</v>
      </c>
      <c r="F172" s="9">
        <v>1970.0</v>
      </c>
      <c r="G172" s="9" t="s">
        <v>461</v>
      </c>
      <c r="H172" s="9" t="s">
        <v>1078</v>
      </c>
      <c r="I172" s="11" t="s">
        <v>973</v>
      </c>
      <c r="J172" s="11" t="s">
        <v>974</v>
      </c>
      <c r="K172" s="9">
        <v>100.0</v>
      </c>
      <c r="L172" s="9">
        <v>100.0</v>
      </c>
      <c r="M172" s="9" t="s">
        <v>40</v>
      </c>
      <c r="N172" s="9" t="s">
        <v>40</v>
      </c>
      <c r="O172" s="16" t="s">
        <v>984</v>
      </c>
      <c r="P172" s="3"/>
      <c r="Q172" s="3"/>
      <c r="R172" s="3"/>
      <c r="S172" s="3"/>
      <c r="T172" s="3"/>
      <c r="U172" s="3"/>
      <c r="V172" s="3"/>
      <c r="W172" s="3"/>
      <c r="X172" s="3"/>
      <c r="Y172" s="3"/>
      <c r="Z172" s="3"/>
    </row>
    <row r="173" ht="27.0" customHeight="1">
      <c r="A173" s="14" t="s">
        <v>968</v>
      </c>
      <c r="B173" s="9" t="s">
        <v>1079</v>
      </c>
      <c r="C173" s="4" t="s">
        <v>1080</v>
      </c>
      <c r="D173" s="9">
        <v>8.8058161522E10</v>
      </c>
      <c r="E173" s="9" t="s">
        <v>1081</v>
      </c>
      <c r="F173" s="9">
        <v>1970.0</v>
      </c>
      <c r="G173" s="9" t="s">
        <v>1082</v>
      </c>
      <c r="H173" s="9" t="s">
        <v>1083</v>
      </c>
      <c r="I173" s="11" t="s">
        <v>973</v>
      </c>
      <c r="J173" s="11" t="s">
        <v>974</v>
      </c>
      <c r="K173" s="9">
        <v>80.0</v>
      </c>
      <c r="L173" s="9">
        <v>80.0</v>
      </c>
      <c r="M173" s="9" t="s">
        <v>40</v>
      </c>
      <c r="N173" s="9" t="s">
        <v>40</v>
      </c>
      <c r="O173" s="16" t="s">
        <v>984</v>
      </c>
      <c r="P173" s="3"/>
      <c r="Q173" s="3"/>
      <c r="R173" s="3"/>
      <c r="S173" s="3"/>
      <c r="T173" s="3"/>
      <c r="U173" s="3"/>
      <c r="V173" s="3"/>
      <c r="W173" s="3"/>
      <c r="X173" s="3"/>
      <c r="Y173" s="3"/>
      <c r="Z173" s="3"/>
    </row>
    <row r="174" ht="27.0" customHeight="1">
      <c r="A174" s="14" t="s">
        <v>968</v>
      </c>
      <c r="B174" s="9" t="s">
        <v>1084</v>
      </c>
      <c r="C174" s="4" t="s">
        <v>1085</v>
      </c>
      <c r="D174" s="9">
        <v>8.8094161271E10</v>
      </c>
      <c r="E174" s="9" t="s">
        <v>1086</v>
      </c>
      <c r="F174" s="9">
        <v>1970.0</v>
      </c>
      <c r="G174" s="9" t="s">
        <v>351</v>
      </c>
      <c r="H174" s="9" t="s">
        <v>1087</v>
      </c>
      <c r="I174" s="11" t="s">
        <v>973</v>
      </c>
      <c r="J174" s="11" t="s">
        <v>974</v>
      </c>
      <c r="K174" s="9">
        <v>50.0</v>
      </c>
      <c r="L174" s="9">
        <v>50.0</v>
      </c>
      <c r="M174" s="9" t="s">
        <v>40</v>
      </c>
      <c r="N174" s="9" t="s">
        <v>40</v>
      </c>
      <c r="O174" s="16" t="s">
        <v>984</v>
      </c>
      <c r="P174" s="3"/>
      <c r="Q174" s="3"/>
      <c r="R174" s="3"/>
      <c r="S174" s="3"/>
      <c r="T174" s="3"/>
      <c r="U174" s="3"/>
      <c r="V174" s="3"/>
      <c r="W174" s="3"/>
      <c r="X174" s="3"/>
      <c r="Y174" s="3"/>
      <c r="Z174" s="3"/>
    </row>
    <row r="175" ht="27.0" customHeight="1">
      <c r="A175" s="14" t="s">
        <v>968</v>
      </c>
      <c r="B175" s="9" t="s">
        <v>1088</v>
      </c>
      <c r="C175" s="4" t="s">
        <v>1089</v>
      </c>
      <c r="D175" s="9">
        <v>8.804176035E10</v>
      </c>
      <c r="E175" s="9" t="s">
        <v>1090</v>
      </c>
      <c r="F175" s="9">
        <v>1970.0</v>
      </c>
      <c r="G175" s="9" t="s">
        <v>473</v>
      </c>
      <c r="H175" s="9" t="s">
        <v>1091</v>
      </c>
      <c r="I175" s="11" t="s">
        <v>973</v>
      </c>
      <c r="J175" s="11" t="s">
        <v>974</v>
      </c>
      <c r="K175" s="9">
        <v>80.0</v>
      </c>
      <c r="L175" s="9">
        <v>80.0</v>
      </c>
      <c r="M175" s="9" t="s">
        <v>40</v>
      </c>
      <c r="N175" s="9" t="s">
        <v>40</v>
      </c>
      <c r="O175" s="16" t="s">
        <v>984</v>
      </c>
      <c r="P175" s="3"/>
      <c r="Q175" s="3"/>
      <c r="R175" s="3"/>
      <c r="S175" s="3"/>
      <c r="T175" s="3"/>
      <c r="U175" s="3"/>
      <c r="V175" s="3"/>
      <c r="W175" s="3"/>
      <c r="X175" s="3"/>
      <c r="Y175" s="3"/>
      <c r="Z175" s="3"/>
    </row>
    <row r="176" ht="27.0" customHeight="1">
      <c r="A176" s="14" t="s">
        <v>968</v>
      </c>
      <c r="B176" s="9" t="s">
        <v>1092</v>
      </c>
      <c r="C176" s="4" t="s">
        <v>1093</v>
      </c>
      <c r="D176" s="9">
        <v>8.8057162231E10</v>
      </c>
      <c r="E176" s="9" t="s">
        <v>1094</v>
      </c>
      <c r="F176" s="9">
        <v>1970.0</v>
      </c>
      <c r="G176" s="9" t="s">
        <v>1095</v>
      </c>
      <c r="H176" s="9" t="s">
        <v>1096</v>
      </c>
      <c r="I176" s="11" t="s">
        <v>973</v>
      </c>
      <c r="J176" s="11" t="s">
        <v>974</v>
      </c>
      <c r="K176" s="9">
        <v>100.0</v>
      </c>
      <c r="L176" s="9">
        <v>100.0</v>
      </c>
      <c r="M176" s="9" t="s">
        <v>40</v>
      </c>
      <c r="N176" s="9" t="s">
        <v>40</v>
      </c>
      <c r="O176" s="16" t="s">
        <v>984</v>
      </c>
      <c r="P176" s="3"/>
      <c r="Q176" s="3"/>
      <c r="R176" s="3"/>
      <c r="S176" s="3"/>
      <c r="T176" s="3"/>
      <c r="U176" s="3"/>
      <c r="V176" s="3"/>
      <c r="W176" s="3"/>
      <c r="X176" s="3"/>
      <c r="Y176" s="3"/>
      <c r="Z176" s="3"/>
    </row>
    <row r="177" ht="27.0" customHeight="1">
      <c r="A177" s="14" t="s">
        <v>968</v>
      </c>
      <c r="B177" s="9" t="s">
        <v>1097</v>
      </c>
      <c r="C177" s="4" t="s">
        <v>1098</v>
      </c>
      <c r="D177" s="9">
        <v>8.80451623E10</v>
      </c>
      <c r="E177" s="9" t="s">
        <v>1099</v>
      </c>
      <c r="F177" s="9">
        <v>1970.0</v>
      </c>
      <c r="G177" s="9" t="s">
        <v>1100</v>
      </c>
      <c r="H177" s="9" t="s">
        <v>1101</v>
      </c>
      <c r="I177" s="11" t="s">
        <v>973</v>
      </c>
      <c r="J177" s="11" t="s">
        <v>974</v>
      </c>
      <c r="K177" s="9">
        <v>50.0</v>
      </c>
      <c r="L177" s="9">
        <v>50.0</v>
      </c>
      <c r="M177" s="9" t="s">
        <v>40</v>
      </c>
      <c r="N177" s="9" t="s">
        <v>40</v>
      </c>
      <c r="O177" s="16" t="s">
        <v>984</v>
      </c>
      <c r="P177" s="3"/>
      <c r="Q177" s="3"/>
      <c r="R177" s="3"/>
      <c r="S177" s="3"/>
      <c r="T177" s="3"/>
      <c r="U177" s="3"/>
      <c r="V177" s="3"/>
      <c r="W177" s="3"/>
      <c r="X177" s="3"/>
      <c r="Y177" s="3"/>
      <c r="Z177" s="3"/>
    </row>
    <row r="178" ht="27.0" customHeight="1">
      <c r="A178" s="14" t="s">
        <v>968</v>
      </c>
      <c r="B178" s="9" t="s">
        <v>1102</v>
      </c>
      <c r="C178" s="4" t="s">
        <v>1103</v>
      </c>
      <c r="D178" s="9">
        <v>8.804216894E10</v>
      </c>
      <c r="E178" s="9" t="s">
        <v>1104</v>
      </c>
      <c r="F178" s="9">
        <v>1970.0</v>
      </c>
      <c r="G178" s="9" t="s">
        <v>479</v>
      </c>
      <c r="H178" s="9" t="s">
        <v>1105</v>
      </c>
      <c r="I178" s="11" t="s">
        <v>973</v>
      </c>
      <c r="J178" s="11" t="s">
        <v>974</v>
      </c>
      <c r="K178" s="9">
        <v>100.0</v>
      </c>
      <c r="L178" s="9">
        <v>100.0</v>
      </c>
      <c r="M178" s="9" t="s">
        <v>40</v>
      </c>
      <c r="N178" s="9" t="s">
        <v>40</v>
      </c>
      <c r="O178" s="16" t="s">
        <v>984</v>
      </c>
      <c r="P178" s="3"/>
      <c r="Q178" s="3"/>
      <c r="R178" s="3"/>
      <c r="S178" s="3"/>
      <c r="T178" s="3"/>
      <c r="U178" s="3"/>
      <c r="V178" s="3"/>
      <c r="W178" s="3"/>
      <c r="X178" s="3"/>
      <c r="Y178" s="3"/>
      <c r="Z178" s="3"/>
    </row>
    <row r="179" ht="27.0" customHeight="1">
      <c r="A179" s="14" t="s">
        <v>968</v>
      </c>
      <c r="B179" s="9" t="s">
        <v>1106</v>
      </c>
      <c r="C179" s="4" t="s">
        <v>1107</v>
      </c>
      <c r="D179" s="9">
        <v>8.8098163014E10</v>
      </c>
      <c r="E179" s="9" t="s">
        <v>1108</v>
      </c>
      <c r="F179" s="9">
        <v>1970.0</v>
      </c>
      <c r="G179" s="9" t="s">
        <v>1109</v>
      </c>
      <c r="H179" s="9" t="s">
        <v>1110</v>
      </c>
      <c r="I179" s="11" t="s">
        <v>973</v>
      </c>
      <c r="J179" s="11" t="s">
        <v>974</v>
      </c>
      <c r="K179" s="9">
        <v>50.0</v>
      </c>
      <c r="L179" s="9">
        <v>50.0</v>
      </c>
      <c r="M179" s="9" t="s">
        <v>40</v>
      </c>
      <c r="N179" s="9" t="s">
        <v>40</v>
      </c>
      <c r="O179" s="16" t="s">
        <v>984</v>
      </c>
      <c r="P179" s="3"/>
      <c r="Q179" s="3"/>
      <c r="R179" s="3"/>
      <c r="S179" s="3"/>
      <c r="T179" s="3"/>
      <c r="U179" s="3"/>
      <c r="V179" s="3"/>
      <c r="W179" s="3"/>
      <c r="X179" s="3"/>
      <c r="Y179" s="3"/>
      <c r="Z179" s="3"/>
    </row>
    <row r="180" ht="27.0" customHeight="1">
      <c r="A180" s="14" t="s">
        <v>968</v>
      </c>
      <c r="B180" s="9" t="s">
        <v>1111</v>
      </c>
      <c r="C180" s="4" t="s">
        <v>1112</v>
      </c>
      <c r="D180" s="9">
        <v>8.8083161244E10</v>
      </c>
      <c r="E180" s="9" t="s">
        <v>1113</v>
      </c>
      <c r="F180" s="9">
        <v>1970.0</v>
      </c>
      <c r="G180" s="9" t="s">
        <v>333</v>
      </c>
      <c r="H180" s="9" t="s">
        <v>1114</v>
      </c>
      <c r="I180" s="11" t="s">
        <v>973</v>
      </c>
      <c r="J180" s="11" t="s">
        <v>974</v>
      </c>
      <c r="K180" s="9">
        <v>50.0</v>
      </c>
      <c r="L180" s="9">
        <v>50.0</v>
      </c>
      <c r="M180" s="9" t="s">
        <v>40</v>
      </c>
      <c r="N180" s="9" t="s">
        <v>40</v>
      </c>
      <c r="O180" s="16" t="s">
        <v>984</v>
      </c>
      <c r="P180" s="3"/>
      <c r="Q180" s="3"/>
      <c r="R180" s="3"/>
      <c r="S180" s="3"/>
      <c r="T180" s="3"/>
      <c r="U180" s="3"/>
      <c r="V180" s="3"/>
      <c r="W180" s="3"/>
      <c r="X180" s="3"/>
      <c r="Y180" s="3"/>
      <c r="Z180" s="3"/>
    </row>
    <row r="181" ht="27.0" customHeight="1">
      <c r="A181" s="14" t="s">
        <v>968</v>
      </c>
      <c r="B181" s="9" t="s">
        <v>1115</v>
      </c>
      <c r="C181" s="4" t="s">
        <v>1116</v>
      </c>
      <c r="D181" s="9">
        <v>8.8026682255E10</v>
      </c>
      <c r="E181" s="9" t="s">
        <v>1117</v>
      </c>
      <c r="F181" s="9">
        <v>1970.0</v>
      </c>
      <c r="G181" s="9" t="s">
        <v>321</v>
      </c>
      <c r="H181" s="9" t="s">
        <v>1118</v>
      </c>
      <c r="I181" s="11" t="s">
        <v>973</v>
      </c>
      <c r="J181" s="11" t="s">
        <v>974</v>
      </c>
      <c r="K181" s="9">
        <v>50.0</v>
      </c>
      <c r="L181" s="9">
        <v>50.0</v>
      </c>
      <c r="M181" s="9" t="s">
        <v>40</v>
      </c>
      <c r="N181" s="9" t="s">
        <v>40</v>
      </c>
      <c r="O181" s="16" t="s">
        <v>984</v>
      </c>
      <c r="P181" s="3"/>
      <c r="Q181" s="3"/>
      <c r="R181" s="3"/>
      <c r="S181" s="3"/>
      <c r="T181" s="3"/>
      <c r="U181" s="3"/>
      <c r="V181" s="3"/>
      <c r="W181" s="3"/>
      <c r="X181" s="3"/>
      <c r="Y181" s="3"/>
      <c r="Z181" s="3"/>
    </row>
    <row r="182" ht="27.0" customHeight="1">
      <c r="A182" s="14" t="s">
        <v>968</v>
      </c>
      <c r="B182" s="9" t="s">
        <v>1119</v>
      </c>
      <c r="C182" s="4" t="s">
        <v>1120</v>
      </c>
      <c r="D182" s="9">
        <v>8.8033174021E10</v>
      </c>
      <c r="E182" s="9" t="s">
        <v>1121</v>
      </c>
      <c r="F182" s="9">
        <v>1970.0</v>
      </c>
      <c r="G182" s="9" t="s">
        <v>1122</v>
      </c>
      <c r="H182" s="9" t="s">
        <v>1123</v>
      </c>
      <c r="I182" s="11" t="s">
        <v>973</v>
      </c>
      <c r="J182" s="11" t="s">
        <v>974</v>
      </c>
      <c r="K182" s="9">
        <v>80.0</v>
      </c>
      <c r="L182" s="9">
        <v>80.0</v>
      </c>
      <c r="M182" s="9" t="s">
        <v>40</v>
      </c>
      <c r="N182" s="9" t="s">
        <v>40</v>
      </c>
      <c r="O182" s="16" t="s">
        <v>984</v>
      </c>
      <c r="P182" s="3"/>
      <c r="Q182" s="3"/>
      <c r="R182" s="3"/>
      <c r="S182" s="3"/>
      <c r="T182" s="3"/>
      <c r="U182" s="3"/>
      <c r="V182" s="3"/>
      <c r="W182" s="3"/>
      <c r="X182" s="3"/>
      <c r="Y182" s="3"/>
      <c r="Z182" s="3"/>
    </row>
    <row r="183" ht="27.0" customHeight="1">
      <c r="A183" s="14" t="s">
        <v>968</v>
      </c>
      <c r="B183" s="9" t="s">
        <v>1124</v>
      </c>
      <c r="C183" s="4" t="s">
        <v>1125</v>
      </c>
      <c r="D183" s="9">
        <v>8.8063162744E10</v>
      </c>
      <c r="E183" s="9" t="s">
        <v>1126</v>
      </c>
      <c r="F183" s="9">
        <v>1970.0</v>
      </c>
      <c r="G183" s="9" t="s">
        <v>485</v>
      </c>
      <c r="H183" s="9" t="s">
        <v>1127</v>
      </c>
      <c r="I183" s="11" t="s">
        <v>973</v>
      </c>
      <c r="J183" s="11" t="s">
        <v>974</v>
      </c>
      <c r="K183" s="9">
        <v>80.0</v>
      </c>
      <c r="L183" s="9">
        <v>80.0</v>
      </c>
      <c r="M183" s="9" t="s">
        <v>40</v>
      </c>
      <c r="N183" s="9" t="s">
        <v>40</v>
      </c>
      <c r="O183" s="16" t="s">
        <v>984</v>
      </c>
      <c r="P183" s="3"/>
      <c r="Q183" s="3"/>
      <c r="R183" s="3"/>
      <c r="S183" s="3"/>
      <c r="T183" s="3"/>
      <c r="U183" s="3"/>
      <c r="V183" s="3"/>
      <c r="W183" s="3"/>
      <c r="X183" s="3"/>
      <c r="Y183" s="3"/>
      <c r="Z183" s="3"/>
    </row>
    <row r="184" ht="27.0" customHeight="1">
      <c r="A184" s="14" t="s">
        <v>968</v>
      </c>
      <c r="B184" s="9" t="s">
        <v>1128</v>
      </c>
      <c r="C184" s="4" t="s">
        <v>1129</v>
      </c>
      <c r="D184" s="9">
        <v>8.8053165215E10</v>
      </c>
      <c r="E184" s="9" t="s">
        <v>1130</v>
      </c>
      <c r="F184" s="9">
        <v>1970.0</v>
      </c>
      <c r="G184" s="9" t="s">
        <v>455</v>
      </c>
      <c r="H184" s="9" t="s">
        <v>1131</v>
      </c>
      <c r="I184" s="11" t="s">
        <v>973</v>
      </c>
      <c r="J184" s="11" t="s">
        <v>974</v>
      </c>
      <c r="K184" s="9">
        <v>80.0</v>
      </c>
      <c r="L184" s="9">
        <v>80.0</v>
      </c>
      <c r="M184" s="9" t="s">
        <v>40</v>
      </c>
      <c r="N184" s="9" t="s">
        <v>40</v>
      </c>
      <c r="O184" s="16" t="s">
        <v>984</v>
      </c>
      <c r="P184" s="3"/>
      <c r="Q184" s="3"/>
      <c r="R184" s="3"/>
      <c r="S184" s="3"/>
      <c r="T184" s="3"/>
      <c r="U184" s="3"/>
      <c r="V184" s="3"/>
      <c r="W184" s="3"/>
      <c r="X184" s="3"/>
      <c r="Y184" s="3"/>
      <c r="Z184" s="3"/>
    </row>
    <row r="185" ht="27.0" customHeight="1">
      <c r="A185" s="14" t="s">
        <v>968</v>
      </c>
      <c r="B185" s="9" t="s">
        <v>1132</v>
      </c>
      <c r="C185" s="4" t="s">
        <v>1133</v>
      </c>
      <c r="D185" s="9">
        <v>8.8034164101E10</v>
      </c>
      <c r="E185" s="9" t="s">
        <v>1134</v>
      </c>
      <c r="F185" s="9">
        <v>1970.0</v>
      </c>
      <c r="G185" s="9" t="s">
        <v>503</v>
      </c>
      <c r="H185" s="9" t="s">
        <v>1135</v>
      </c>
      <c r="I185" s="11" t="s">
        <v>973</v>
      </c>
      <c r="J185" s="11" t="s">
        <v>974</v>
      </c>
      <c r="K185" s="9">
        <v>80.0</v>
      </c>
      <c r="L185" s="9">
        <v>80.0</v>
      </c>
      <c r="M185" s="9" t="s">
        <v>40</v>
      </c>
      <c r="N185" s="9" t="s">
        <v>40</v>
      </c>
      <c r="O185" s="16" t="s">
        <v>984</v>
      </c>
      <c r="P185" s="3"/>
      <c r="Q185" s="3"/>
      <c r="R185" s="3"/>
      <c r="S185" s="3"/>
      <c r="T185" s="3"/>
      <c r="U185" s="3"/>
      <c r="V185" s="3"/>
      <c r="W185" s="3"/>
      <c r="X185" s="3"/>
      <c r="Y185" s="3"/>
      <c r="Z185" s="3"/>
    </row>
    <row r="186" ht="27.0" customHeight="1">
      <c r="A186" s="14" t="s">
        <v>968</v>
      </c>
      <c r="B186" s="9" t="s">
        <v>1136</v>
      </c>
      <c r="C186" s="4" t="s">
        <v>1137</v>
      </c>
      <c r="D186" s="9">
        <v>8.808168532E9</v>
      </c>
      <c r="E186" s="9" t="s">
        <v>1138</v>
      </c>
      <c r="F186" s="9">
        <v>1970.0</v>
      </c>
      <c r="G186" s="9" t="s">
        <v>497</v>
      </c>
      <c r="H186" s="9" t="s">
        <v>1139</v>
      </c>
      <c r="I186" s="11" t="s">
        <v>973</v>
      </c>
      <c r="J186" s="11" t="s">
        <v>974</v>
      </c>
      <c r="K186" s="9">
        <v>80.0</v>
      </c>
      <c r="L186" s="9">
        <v>80.0</v>
      </c>
      <c r="M186" s="9" t="s">
        <v>40</v>
      </c>
      <c r="N186" s="9" t="s">
        <v>40</v>
      </c>
      <c r="O186" s="16" t="s">
        <v>984</v>
      </c>
      <c r="P186" s="3"/>
      <c r="Q186" s="3"/>
      <c r="R186" s="3"/>
      <c r="S186" s="3"/>
      <c r="T186" s="3"/>
      <c r="U186" s="3"/>
      <c r="V186" s="3"/>
      <c r="W186" s="3"/>
      <c r="X186" s="3"/>
      <c r="Y186" s="3"/>
      <c r="Z186" s="3"/>
    </row>
    <row r="187" ht="27.0" customHeight="1">
      <c r="A187" s="14" t="s">
        <v>968</v>
      </c>
      <c r="B187" s="9" t="s">
        <v>1140</v>
      </c>
      <c r="C187" s="4" t="s">
        <v>1141</v>
      </c>
      <c r="D187" s="9">
        <v>8.80761633E10</v>
      </c>
      <c r="E187" s="9" t="s">
        <v>1142</v>
      </c>
      <c r="F187" s="9">
        <v>1970.0</v>
      </c>
      <c r="G187" s="9" t="s">
        <v>1143</v>
      </c>
      <c r="H187" s="9" t="s">
        <v>1144</v>
      </c>
      <c r="I187" s="11" t="s">
        <v>973</v>
      </c>
      <c r="J187" s="11" t="s">
        <v>974</v>
      </c>
      <c r="K187" s="9">
        <v>50.0</v>
      </c>
      <c r="L187" s="9">
        <v>50.0</v>
      </c>
      <c r="M187" s="9" t="s">
        <v>40</v>
      </c>
      <c r="N187" s="9" t="s">
        <v>40</v>
      </c>
      <c r="O187" s="16" t="s">
        <v>984</v>
      </c>
      <c r="P187" s="3"/>
      <c r="Q187" s="3"/>
      <c r="R187" s="3"/>
      <c r="S187" s="3"/>
      <c r="T187" s="3"/>
      <c r="U187" s="3"/>
      <c r="V187" s="3"/>
      <c r="W187" s="3"/>
      <c r="X187" s="3"/>
      <c r="Y187" s="3"/>
      <c r="Z187" s="3"/>
    </row>
    <row r="188" ht="27.0" customHeight="1">
      <c r="A188" s="14" t="s">
        <v>968</v>
      </c>
      <c r="B188" s="9" t="s">
        <v>1145</v>
      </c>
      <c r="C188" s="4" t="s">
        <v>1146</v>
      </c>
      <c r="D188" s="9">
        <v>8.8078155421E10</v>
      </c>
      <c r="E188" s="9" t="s">
        <v>1147</v>
      </c>
      <c r="F188" s="9">
        <v>1970.0</v>
      </c>
      <c r="G188" s="9" t="s">
        <v>1148</v>
      </c>
      <c r="H188" s="9" t="s">
        <v>1149</v>
      </c>
      <c r="I188" s="11" t="s">
        <v>973</v>
      </c>
      <c r="J188" s="11" t="s">
        <v>974</v>
      </c>
      <c r="K188" s="9">
        <v>80.0</v>
      </c>
      <c r="L188" s="9">
        <v>80.0</v>
      </c>
      <c r="M188" s="9" t="s">
        <v>40</v>
      </c>
      <c r="N188" s="9" t="s">
        <v>40</v>
      </c>
      <c r="O188" s="16" t="s">
        <v>984</v>
      </c>
      <c r="P188" s="3"/>
      <c r="Q188" s="3"/>
      <c r="R188" s="3"/>
      <c r="S188" s="3"/>
      <c r="T188" s="3"/>
      <c r="U188" s="3"/>
      <c r="V188" s="3"/>
      <c r="W188" s="3"/>
      <c r="X188" s="3"/>
      <c r="Y188" s="3"/>
      <c r="Z188" s="3"/>
    </row>
    <row r="189" ht="27.0" customHeight="1">
      <c r="A189" s="14" t="s">
        <v>968</v>
      </c>
      <c r="B189" s="9" t="s">
        <v>1150</v>
      </c>
      <c r="C189" s="4" t="s">
        <v>1151</v>
      </c>
      <c r="D189" s="9">
        <v>8.80841633E10</v>
      </c>
      <c r="E189" s="9" t="s">
        <v>1152</v>
      </c>
      <c r="F189" s="9">
        <v>1970.0</v>
      </c>
      <c r="G189" s="9" t="s">
        <v>527</v>
      </c>
      <c r="H189" s="9" t="s">
        <v>1153</v>
      </c>
      <c r="I189" s="11" t="s">
        <v>973</v>
      </c>
      <c r="J189" s="11" t="s">
        <v>974</v>
      </c>
      <c r="K189" s="9">
        <v>50.0</v>
      </c>
      <c r="L189" s="9">
        <v>50.0</v>
      </c>
      <c r="M189" s="9" t="s">
        <v>40</v>
      </c>
      <c r="N189" s="9" t="s">
        <v>40</v>
      </c>
      <c r="O189" s="16" t="s">
        <v>984</v>
      </c>
      <c r="P189" s="3"/>
      <c r="Q189" s="3"/>
      <c r="R189" s="3"/>
      <c r="S189" s="3"/>
      <c r="T189" s="3"/>
      <c r="U189" s="3"/>
      <c r="V189" s="3"/>
      <c r="W189" s="3"/>
      <c r="X189" s="3"/>
      <c r="Y189" s="3"/>
      <c r="Z189" s="3"/>
    </row>
    <row r="190" ht="27.0" customHeight="1">
      <c r="A190" s="14" t="s">
        <v>968</v>
      </c>
      <c r="B190" s="9" t="s">
        <v>1154</v>
      </c>
      <c r="C190" s="4" t="s">
        <v>1155</v>
      </c>
      <c r="D190" s="9">
        <v>8.8085158221E10</v>
      </c>
      <c r="E190" s="9" t="s">
        <v>1156</v>
      </c>
      <c r="F190" s="9">
        <v>1970.0</v>
      </c>
      <c r="G190" s="9" t="s">
        <v>1157</v>
      </c>
      <c r="H190" s="9" t="s">
        <v>1158</v>
      </c>
      <c r="I190" s="11" t="s">
        <v>973</v>
      </c>
      <c r="J190" s="11" t="s">
        <v>974</v>
      </c>
      <c r="K190" s="9">
        <v>70.0</v>
      </c>
      <c r="L190" s="9">
        <v>70.0</v>
      </c>
      <c r="M190" s="9" t="s">
        <v>40</v>
      </c>
      <c r="N190" s="9" t="s">
        <v>40</v>
      </c>
      <c r="O190" s="16" t="s">
        <v>984</v>
      </c>
      <c r="P190" s="3"/>
      <c r="Q190" s="3"/>
      <c r="R190" s="3"/>
      <c r="S190" s="3"/>
      <c r="T190" s="3"/>
      <c r="U190" s="3"/>
      <c r="V190" s="3"/>
      <c r="W190" s="3"/>
      <c r="X190" s="3"/>
      <c r="Y190" s="3"/>
      <c r="Z190" s="3"/>
    </row>
    <row r="191" ht="27.0" customHeight="1">
      <c r="A191" s="14" t="s">
        <v>968</v>
      </c>
      <c r="B191" s="9" t="s">
        <v>1159</v>
      </c>
      <c r="C191" s="4" t="s">
        <v>1160</v>
      </c>
      <c r="D191" s="9">
        <v>8.805166247E9</v>
      </c>
      <c r="E191" s="9" t="s">
        <v>1161</v>
      </c>
      <c r="F191" s="9">
        <v>1970.0</v>
      </c>
      <c r="G191" s="9" t="s">
        <v>339</v>
      </c>
      <c r="H191" s="9" t="s">
        <v>1162</v>
      </c>
      <c r="I191" s="11" t="s">
        <v>973</v>
      </c>
      <c r="J191" s="11" t="s">
        <v>974</v>
      </c>
      <c r="K191" s="9">
        <v>80.0</v>
      </c>
      <c r="L191" s="9">
        <v>80.0</v>
      </c>
      <c r="M191" s="9" t="s">
        <v>40</v>
      </c>
      <c r="N191" s="9" t="s">
        <v>40</v>
      </c>
      <c r="O191" s="16" t="s">
        <v>984</v>
      </c>
      <c r="P191" s="3"/>
      <c r="Q191" s="3"/>
      <c r="R191" s="3"/>
      <c r="S191" s="3"/>
      <c r="T191" s="3"/>
      <c r="U191" s="3"/>
      <c r="V191" s="3"/>
      <c r="W191" s="3"/>
      <c r="X191" s="3"/>
      <c r="Y191" s="3"/>
      <c r="Z191" s="3"/>
    </row>
    <row r="192" ht="27.0" customHeight="1">
      <c r="A192" s="14" t="s">
        <v>968</v>
      </c>
      <c r="B192" s="9" t="s">
        <v>1163</v>
      </c>
      <c r="C192" s="4" t="s">
        <v>1164</v>
      </c>
      <c r="D192" s="9">
        <v>8.80491613E10</v>
      </c>
      <c r="E192" s="9" t="s">
        <v>1165</v>
      </c>
      <c r="F192" s="9">
        <v>1970.0</v>
      </c>
      <c r="G192" s="9" t="s">
        <v>1166</v>
      </c>
      <c r="H192" s="9" t="s">
        <v>1167</v>
      </c>
      <c r="I192" s="11" t="s">
        <v>973</v>
      </c>
      <c r="J192" s="11" t="s">
        <v>974</v>
      </c>
      <c r="K192" s="9">
        <v>50.0</v>
      </c>
      <c r="L192" s="9">
        <v>50.0</v>
      </c>
      <c r="M192" s="9" t="s">
        <v>40</v>
      </c>
      <c r="N192" s="9" t="s">
        <v>40</v>
      </c>
      <c r="O192" s="16" t="s">
        <v>984</v>
      </c>
      <c r="P192" s="3"/>
      <c r="Q192" s="3"/>
      <c r="R192" s="3"/>
      <c r="S192" s="3"/>
      <c r="T192" s="3"/>
      <c r="U192" s="3"/>
      <c r="V192" s="3"/>
      <c r="W192" s="3"/>
      <c r="X192" s="3"/>
      <c r="Y192" s="3"/>
      <c r="Z192" s="3"/>
    </row>
    <row r="193" ht="27.0" customHeight="1">
      <c r="A193" s="14" t="s">
        <v>968</v>
      </c>
      <c r="B193" s="9" t="s">
        <v>1168</v>
      </c>
      <c r="C193" s="4" t="s">
        <v>1169</v>
      </c>
      <c r="D193" s="9">
        <v>8.80448623E10</v>
      </c>
      <c r="E193" s="9" t="s">
        <v>1170</v>
      </c>
      <c r="F193" s="9">
        <v>1970.0</v>
      </c>
      <c r="G193" s="9" t="s">
        <v>1171</v>
      </c>
      <c r="H193" s="9" t="s">
        <v>1172</v>
      </c>
      <c r="I193" s="11" t="s">
        <v>973</v>
      </c>
      <c r="J193" s="11" t="s">
        <v>974</v>
      </c>
      <c r="K193" s="9">
        <v>50.0</v>
      </c>
      <c r="L193" s="9">
        <v>50.0</v>
      </c>
      <c r="M193" s="9" t="s">
        <v>40</v>
      </c>
      <c r="N193" s="9" t="s">
        <v>40</v>
      </c>
      <c r="O193" s="16" t="s">
        <v>984</v>
      </c>
      <c r="P193" s="3"/>
      <c r="Q193" s="3"/>
      <c r="R193" s="3"/>
      <c r="S193" s="3"/>
      <c r="T193" s="3"/>
      <c r="U193" s="3"/>
      <c r="V193" s="3"/>
      <c r="W193" s="3"/>
      <c r="X193" s="3"/>
      <c r="Y193" s="3"/>
      <c r="Z193" s="3"/>
    </row>
    <row r="194" ht="27.0" customHeight="1">
      <c r="A194" s="14" t="s">
        <v>968</v>
      </c>
      <c r="B194" s="9" t="s">
        <v>1173</v>
      </c>
      <c r="C194" s="4" t="s">
        <v>1174</v>
      </c>
      <c r="D194" s="9">
        <v>8.8046862341E10</v>
      </c>
      <c r="E194" s="9" t="s">
        <v>1175</v>
      </c>
      <c r="F194" s="9">
        <v>1970.0</v>
      </c>
      <c r="G194" s="9" t="s">
        <v>1176</v>
      </c>
      <c r="H194" s="9" t="s">
        <v>1177</v>
      </c>
      <c r="I194" s="11" t="s">
        <v>973</v>
      </c>
      <c r="J194" s="11" t="s">
        <v>974</v>
      </c>
      <c r="K194" s="9">
        <v>50.0</v>
      </c>
      <c r="L194" s="9">
        <v>50.0</v>
      </c>
      <c r="M194" s="9" t="s">
        <v>40</v>
      </c>
      <c r="N194" s="9" t="s">
        <v>40</v>
      </c>
      <c r="O194" s="16" t="s">
        <v>984</v>
      </c>
      <c r="P194" s="3"/>
      <c r="Q194" s="3"/>
      <c r="R194" s="3"/>
      <c r="S194" s="3"/>
      <c r="T194" s="3"/>
      <c r="U194" s="3"/>
      <c r="V194" s="3"/>
      <c r="W194" s="3"/>
      <c r="X194" s="3"/>
      <c r="Y194" s="3"/>
      <c r="Z194" s="3"/>
    </row>
    <row r="195" ht="27.0" customHeight="1">
      <c r="A195" s="14" t="s">
        <v>968</v>
      </c>
      <c r="B195" s="9" t="s">
        <v>1178</v>
      </c>
      <c r="C195" s="4" t="s">
        <v>1179</v>
      </c>
      <c r="D195" s="9">
        <v>8.801716383616E12</v>
      </c>
      <c r="E195" s="9" t="s">
        <v>1180</v>
      </c>
      <c r="F195" s="9">
        <v>2008.0</v>
      </c>
      <c r="G195" s="9" t="s">
        <v>431</v>
      </c>
      <c r="H195" s="9" t="s">
        <v>1181</v>
      </c>
      <c r="I195" s="11" t="s">
        <v>973</v>
      </c>
      <c r="J195" s="11" t="s">
        <v>974</v>
      </c>
      <c r="K195" s="9">
        <v>100.0</v>
      </c>
      <c r="L195" s="9">
        <v>100.0</v>
      </c>
      <c r="M195" s="9" t="s">
        <v>40</v>
      </c>
      <c r="N195" s="9" t="s">
        <v>40</v>
      </c>
      <c r="O195" s="16" t="s">
        <v>984</v>
      </c>
      <c r="P195" s="3"/>
      <c r="Q195" s="3"/>
      <c r="R195" s="3"/>
      <c r="S195" s="3"/>
      <c r="T195" s="3"/>
      <c r="U195" s="3"/>
      <c r="V195" s="3"/>
      <c r="W195" s="3"/>
      <c r="X195" s="3"/>
      <c r="Y195" s="3"/>
      <c r="Z195" s="3"/>
    </row>
    <row r="196" ht="27.0" customHeight="1">
      <c r="A196" s="14" t="s">
        <v>968</v>
      </c>
      <c r="B196" s="9" t="s">
        <v>1182</v>
      </c>
      <c r="C196" s="4" t="s">
        <v>1183</v>
      </c>
      <c r="D196" s="9">
        <v>8.801711311059E12</v>
      </c>
      <c r="E196" s="9" t="s">
        <v>1184</v>
      </c>
      <c r="F196" s="9">
        <v>2010.0</v>
      </c>
      <c r="G196" s="9" t="s">
        <v>1185</v>
      </c>
      <c r="H196" s="9" t="s">
        <v>1186</v>
      </c>
      <c r="I196" s="11" t="s">
        <v>973</v>
      </c>
      <c r="J196" s="11" t="s">
        <v>974</v>
      </c>
      <c r="K196" s="9">
        <v>125.0</v>
      </c>
      <c r="L196" s="9">
        <v>125.0</v>
      </c>
      <c r="M196" s="9" t="s">
        <v>40</v>
      </c>
      <c r="N196" s="9" t="s">
        <v>40</v>
      </c>
      <c r="O196" s="16" t="s">
        <v>984</v>
      </c>
      <c r="P196" s="3"/>
      <c r="Q196" s="3"/>
      <c r="R196" s="3"/>
      <c r="S196" s="3"/>
      <c r="T196" s="3"/>
      <c r="U196" s="3"/>
      <c r="V196" s="3"/>
      <c r="W196" s="3"/>
      <c r="X196" s="3"/>
      <c r="Y196" s="3"/>
      <c r="Z196" s="3"/>
    </row>
    <row r="197" ht="27.0" customHeight="1">
      <c r="A197" s="14" t="s">
        <v>968</v>
      </c>
      <c r="B197" s="9" t="s">
        <v>1187</v>
      </c>
      <c r="C197" s="4" t="s">
        <v>1188</v>
      </c>
      <c r="D197" s="9">
        <v>8.8031278016E11</v>
      </c>
      <c r="E197" s="9" t="s">
        <v>1189</v>
      </c>
      <c r="F197" s="9">
        <v>2012.0</v>
      </c>
      <c r="G197" s="9" t="s">
        <v>1190</v>
      </c>
      <c r="H197" s="9" t="s">
        <v>1191</v>
      </c>
      <c r="I197" s="11" t="s">
        <v>973</v>
      </c>
      <c r="J197" s="11" t="s">
        <v>974</v>
      </c>
      <c r="K197" s="9">
        <v>100.0</v>
      </c>
      <c r="L197" s="9">
        <v>100.0</v>
      </c>
      <c r="M197" s="9" t="s">
        <v>40</v>
      </c>
      <c r="N197" s="9" t="s">
        <v>40</v>
      </c>
      <c r="O197" s="16" t="s">
        <v>984</v>
      </c>
      <c r="P197" s="3"/>
      <c r="Q197" s="3"/>
      <c r="R197" s="3"/>
      <c r="S197" s="3"/>
      <c r="T197" s="3"/>
      <c r="U197" s="3"/>
      <c r="V197" s="3"/>
      <c r="W197" s="3"/>
      <c r="X197" s="3"/>
      <c r="Y197" s="3"/>
      <c r="Z197" s="3"/>
    </row>
    <row r="198" ht="27.0" customHeight="1">
      <c r="A198" s="14" t="s">
        <v>968</v>
      </c>
      <c r="B198" s="9" t="s">
        <v>1192</v>
      </c>
      <c r="C198" s="4" t="s">
        <v>1193</v>
      </c>
      <c r="D198" s="9">
        <v>8.801712166986E12</v>
      </c>
      <c r="E198" s="9" t="s">
        <v>1194</v>
      </c>
      <c r="F198" s="9">
        <v>1970.0</v>
      </c>
      <c r="G198" s="9" t="s">
        <v>491</v>
      </c>
      <c r="H198" s="9" t="s">
        <v>1195</v>
      </c>
      <c r="I198" s="11" t="s">
        <v>973</v>
      </c>
      <c r="J198" s="11" t="s">
        <v>974</v>
      </c>
      <c r="K198" s="9">
        <v>100.0</v>
      </c>
      <c r="L198" s="9">
        <v>100.0</v>
      </c>
      <c r="M198" s="9" t="s">
        <v>40</v>
      </c>
      <c r="N198" s="9" t="s">
        <v>40</v>
      </c>
      <c r="O198" s="16" t="s">
        <v>984</v>
      </c>
      <c r="P198" s="3"/>
      <c r="Q198" s="3"/>
      <c r="R198" s="3"/>
      <c r="S198" s="3"/>
      <c r="T198" s="3"/>
      <c r="U198" s="3"/>
      <c r="V198" s="3"/>
      <c r="W198" s="3"/>
      <c r="X198" s="3"/>
      <c r="Y198" s="3"/>
      <c r="Z198" s="3"/>
    </row>
    <row r="199" ht="27.0" customHeight="1">
      <c r="A199" s="14" t="s">
        <v>968</v>
      </c>
      <c r="B199" s="9" t="s">
        <v>1196</v>
      </c>
      <c r="C199" s="4" t="s">
        <v>1197</v>
      </c>
      <c r="D199" s="9">
        <v>8.8029136709E10</v>
      </c>
      <c r="E199" s="9" t="s">
        <v>1198</v>
      </c>
      <c r="F199" s="9">
        <v>1970.0</v>
      </c>
      <c r="G199" s="9" t="s">
        <v>1199</v>
      </c>
      <c r="H199" s="9" t="s">
        <v>1200</v>
      </c>
      <c r="I199" s="11" t="s">
        <v>973</v>
      </c>
      <c r="J199" s="11" t="s">
        <v>974</v>
      </c>
      <c r="K199" s="9">
        <v>100.0</v>
      </c>
      <c r="L199" s="9">
        <v>100.0</v>
      </c>
      <c r="M199" s="9" t="s">
        <v>40</v>
      </c>
      <c r="N199" s="9" t="s">
        <v>40</v>
      </c>
      <c r="O199" s="16" t="s">
        <v>984</v>
      </c>
      <c r="P199" s="3"/>
      <c r="Q199" s="3"/>
      <c r="R199" s="3"/>
      <c r="S199" s="3"/>
      <c r="T199" s="3"/>
      <c r="U199" s="3"/>
      <c r="V199" s="3"/>
      <c r="W199" s="3"/>
      <c r="X199" s="3"/>
      <c r="Y199" s="3"/>
      <c r="Z199" s="3"/>
    </row>
    <row r="200" ht="27.0" customHeight="1">
      <c r="A200" s="14" t="s">
        <v>968</v>
      </c>
      <c r="B200" s="9" t="s">
        <v>1201</v>
      </c>
      <c r="C200" s="4" t="s">
        <v>1202</v>
      </c>
      <c r="D200" s="9">
        <v>8.801819616212E12</v>
      </c>
      <c r="E200" s="9" t="s">
        <v>1203</v>
      </c>
      <c r="F200" s="9">
        <v>2008.0</v>
      </c>
      <c r="G200" s="9" t="s">
        <v>521</v>
      </c>
      <c r="H200" s="9" t="s">
        <v>1204</v>
      </c>
      <c r="I200" s="11" t="s">
        <v>973</v>
      </c>
      <c r="J200" s="11" t="s">
        <v>974</v>
      </c>
      <c r="K200" s="9">
        <v>100.0</v>
      </c>
      <c r="L200" s="9">
        <v>100.0</v>
      </c>
      <c r="M200" s="9" t="s">
        <v>40</v>
      </c>
      <c r="N200" s="9" t="s">
        <v>40</v>
      </c>
      <c r="O200" s="16" t="s">
        <v>984</v>
      </c>
      <c r="P200" s="3"/>
      <c r="Q200" s="3"/>
      <c r="R200" s="3"/>
      <c r="S200" s="3"/>
      <c r="T200" s="3"/>
      <c r="U200" s="3"/>
      <c r="V200" s="3"/>
      <c r="W200" s="3"/>
      <c r="X200" s="3"/>
      <c r="Y200" s="3"/>
      <c r="Z200" s="3"/>
    </row>
    <row r="201" ht="27.0" customHeight="1">
      <c r="A201" s="14" t="s">
        <v>968</v>
      </c>
      <c r="B201" s="9" t="s">
        <v>1205</v>
      </c>
      <c r="C201" s="4" t="s">
        <v>1206</v>
      </c>
      <c r="D201" s="9">
        <v>8.801712530113E12</v>
      </c>
      <c r="E201" s="9" t="s">
        <v>1207</v>
      </c>
      <c r="F201" s="9">
        <v>2010.0</v>
      </c>
      <c r="G201" s="9" t="s">
        <v>339</v>
      </c>
      <c r="H201" s="9" t="s">
        <v>1208</v>
      </c>
      <c r="I201" s="11" t="s">
        <v>973</v>
      </c>
      <c r="J201" s="11" t="s">
        <v>974</v>
      </c>
      <c r="K201" s="9">
        <v>100.0</v>
      </c>
      <c r="L201" s="9">
        <v>100.0</v>
      </c>
      <c r="M201" s="9" t="s">
        <v>40</v>
      </c>
      <c r="N201" s="9" t="s">
        <v>40</v>
      </c>
      <c r="O201" s="16" t="s">
        <v>984</v>
      </c>
      <c r="P201" s="3"/>
      <c r="Q201" s="3"/>
      <c r="R201" s="3"/>
      <c r="S201" s="3"/>
      <c r="T201" s="3"/>
      <c r="U201" s="3"/>
      <c r="V201" s="3"/>
      <c r="W201" s="3"/>
      <c r="X201" s="3"/>
      <c r="Y201" s="3"/>
      <c r="Z201" s="3"/>
    </row>
    <row r="202" ht="27.0" customHeight="1">
      <c r="A202" s="14" t="s">
        <v>968</v>
      </c>
      <c r="B202" s="9" t="s">
        <v>1209</v>
      </c>
      <c r="C202" s="4" t="s">
        <v>1210</v>
      </c>
      <c r="D202" s="9">
        <v>8.801715104257E12</v>
      </c>
      <c r="E202" s="9" t="s">
        <v>1211</v>
      </c>
      <c r="F202" s="9">
        <v>2011.0</v>
      </c>
      <c r="G202" s="9" t="s">
        <v>1212</v>
      </c>
      <c r="H202" s="9" t="s">
        <v>1213</v>
      </c>
      <c r="I202" s="11" t="s">
        <v>973</v>
      </c>
      <c r="J202" s="11" t="s">
        <v>974</v>
      </c>
      <c r="K202" s="9">
        <v>100.0</v>
      </c>
      <c r="L202" s="9">
        <v>100.0</v>
      </c>
      <c r="M202" s="9" t="s">
        <v>40</v>
      </c>
      <c r="N202" s="9" t="s">
        <v>40</v>
      </c>
      <c r="O202" s="16" t="s">
        <v>984</v>
      </c>
      <c r="P202" s="3"/>
      <c r="Q202" s="3"/>
      <c r="R202" s="3"/>
      <c r="S202" s="3"/>
      <c r="T202" s="3"/>
      <c r="U202" s="3"/>
      <c r="V202" s="3"/>
      <c r="W202" s="3"/>
      <c r="X202" s="3"/>
      <c r="Y202" s="3"/>
      <c r="Z202" s="3"/>
    </row>
    <row r="203" ht="27.0" customHeight="1">
      <c r="A203" s="1"/>
      <c r="B203" s="1"/>
      <c r="C203" s="1"/>
      <c r="D203" s="1"/>
      <c r="E203" s="1"/>
      <c r="F203" s="1"/>
      <c r="G203" s="1"/>
      <c r="H203" s="1"/>
      <c r="I203" s="1"/>
      <c r="J203" s="1"/>
      <c r="K203" s="1"/>
      <c r="L203" s="1"/>
      <c r="M203" s="1"/>
      <c r="N203" s="1"/>
      <c r="O203" s="13"/>
      <c r="P203" s="1"/>
      <c r="Q203" s="1"/>
      <c r="R203" s="1"/>
      <c r="S203" s="1"/>
      <c r="T203" s="1"/>
      <c r="U203" s="1"/>
      <c r="V203" s="1"/>
      <c r="W203" s="1"/>
      <c r="X203" s="1"/>
      <c r="Y203" s="1"/>
      <c r="Z203" s="1"/>
    </row>
    <row r="204" ht="27.0" customHeight="1">
      <c r="A204" s="1"/>
      <c r="B204" s="1"/>
      <c r="C204" s="1"/>
      <c r="D204" s="1"/>
      <c r="E204" s="1"/>
      <c r="F204" s="1"/>
      <c r="G204" s="1"/>
      <c r="H204" s="1"/>
      <c r="I204" s="1"/>
      <c r="J204" s="1"/>
      <c r="K204" s="1"/>
      <c r="L204" s="1"/>
      <c r="M204" s="1"/>
      <c r="N204" s="1"/>
      <c r="O204" s="13"/>
      <c r="P204" s="1"/>
      <c r="Q204" s="1"/>
      <c r="R204" s="1"/>
      <c r="S204" s="1"/>
      <c r="T204" s="1"/>
      <c r="U204" s="1"/>
      <c r="V204" s="1"/>
      <c r="W204" s="1"/>
      <c r="X204" s="1"/>
      <c r="Y204" s="1"/>
      <c r="Z204" s="1"/>
    </row>
    <row r="205" ht="27.0" customHeight="1">
      <c r="A205" s="1"/>
      <c r="B205" s="1"/>
      <c r="C205" s="1"/>
      <c r="D205" s="1"/>
      <c r="E205" s="1"/>
      <c r="F205" s="1"/>
      <c r="G205" s="1"/>
      <c r="H205" s="1"/>
      <c r="I205" s="1"/>
      <c r="J205" s="1"/>
      <c r="K205" s="1"/>
      <c r="L205" s="1"/>
      <c r="M205" s="1"/>
      <c r="N205" s="1"/>
      <c r="O205" s="13"/>
      <c r="P205" s="1"/>
      <c r="Q205" s="1"/>
      <c r="R205" s="1"/>
      <c r="S205" s="1"/>
      <c r="T205" s="1"/>
      <c r="U205" s="1"/>
      <c r="V205" s="1"/>
      <c r="W205" s="1"/>
      <c r="X205" s="1"/>
      <c r="Y205" s="1"/>
      <c r="Z205" s="1"/>
    </row>
    <row r="206" ht="27.0" customHeight="1">
      <c r="A206" s="1"/>
      <c r="B206" s="1"/>
      <c r="C206" s="1"/>
      <c r="D206" s="1"/>
      <c r="E206" s="1"/>
      <c r="F206" s="1"/>
      <c r="G206" s="1"/>
      <c r="H206" s="1"/>
      <c r="I206" s="1"/>
      <c r="J206" s="1"/>
      <c r="K206" s="1"/>
      <c r="L206" s="1"/>
      <c r="M206" s="1"/>
      <c r="N206" s="1"/>
      <c r="O206" s="13"/>
      <c r="P206" s="1"/>
      <c r="Q206" s="1"/>
      <c r="R206" s="1"/>
      <c r="S206" s="1"/>
      <c r="T206" s="1"/>
      <c r="U206" s="1"/>
      <c r="V206" s="1"/>
      <c r="W206" s="1"/>
      <c r="X206" s="1"/>
      <c r="Y206" s="1"/>
      <c r="Z206" s="1"/>
    </row>
    <row r="207" ht="27.0" customHeight="1">
      <c r="A207" s="1"/>
      <c r="B207" s="1"/>
      <c r="C207" s="1"/>
      <c r="D207" s="1"/>
      <c r="E207" s="1"/>
      <c r="F207" s="1"/>
      <c r="G207" s="1"/>
      <c r="H207" s="1"/>
      <c r="I207" s="1"/>
      <c r="J207" s="1"/>
      <c r="K207" s="1"/>
      <c r="L207" s="1"/>
      <c r="M207" s="1"/>
      <c r="N207" s="1"/>
      <c r="O207" s="13"/>
      <c r="P207" s="1"/>
      <c r="Q207" s="1"/>
      <c r="R207" s="1"/>
      <c r="S207" s="1"/>
      <c r="T207" s="1"/>
      <c r="U207" s="1"/>
      <c r="V207" s="1"/>
      <c r="W207" s="1"/>
      <c r="X207" s="1"/>
      <c r="Y207" s="1"/>
      <c r="Z207" s="1"/>
    </row>
    <row r="208" ht="27.0" customHeight="1">
      <c r="A208" s="1"/>
      <c r="B208" s="1"/>
      <c r="C208" s="1"/>
      <c r="D208" s="1"/>
      <c r="E208" s="1"/>
      <c r="F208" s="1"/>
      <c r="G208" s="1"/>
      <c r="H208" s="1"/>
      <c r="I208" s="1"/>
      <c r="J208" s="1"/>
      <c r="K208" s="1"/>
      <c r="L208" s="1"/>
      <c r="M208" s="1"/>
      <c r="N208" s="1"/>
      <c r="O208" s="13"/>
      <c r="P208" s="1"/>
      <c r="Q208" s="1"/>
      <c r="R208" s="1"/>
      <c r="S208" s="1"/>
      <c r="T208" s="1"/>
      <c r="U208" s="1"/>
      <c r="V208" s="1"/>
      <c r="W208" s="1"/>
      <c r="X208" s="1"/>
      <c r="Y208" s="1"/>
      <c r="Z208" s="1"/>
    </row>
    <row r="209" ht="27.0" customHeight="1">
      <c r="A209" s="1"/>
      <c r="B209" s="1"/>
      <c r="C209" s="1"/>
      <c r="D209" s="1"/>
      <c r="E209" s="1"/>
      <c r="F209" s="1"/>
      <c r="G209" s="1"/>
      <c r="H209" s="1"/>
      <c r="I209" s="1"/>
      <c r="J209" s="1"/>
      <c r="K209" s="1"/>
      <c r="L209" s="1"/>
      <c r="M209" s="1"/>
      <c r="N209" s="1"/>
      <c r="O209" s="13"/>
      <c r="P209" s="1"/>
      <c r="Q209" s="1"/>
      <c r="R209" s="1"/>
      <c r="S209" s="1"/>
      <c r="T209" s="1"/>
      <c r="U209" s="1"/>
      <c r="V209" s="1"/>
      <c r="W209" s="1"/>
      <c r="X209" s="1"/>
      <c r="Y209" s="1"/>
      <c r="Z209" s="1"/>
    </row>
    <row r="210" ht="27.0" customHeight="1">
      <c r="A210" s="1"/>
      <c r="B210" s="1"/>
      <c r="C210" s="1"/>
      <c r="D210" s="1"/>
      <c r="E210" s="1"/>
      <c r="F210" s="1"/>
      <c r="G210" s="1"/>
      <c r="H210" s="1"/>
      <c r="I210" s="1"/>
      <c r="J210" s="1"/>
      <c r="K210" s="1"/>
      <c r="L210" s="1"/>
      <c r="M210" s="1"/>
      <c r="N210" s="1"/>
      <c r="O210" s="13"/>
      <c r="P210" s="1"/>
      <c r="Q210" s="1"/>
      <c r="R210" s="1"/>
      <c r="S210" s="1"/>
      <c r="T210" s="1"/>
      <c r="U210" s="1"/>
      <c r="V210" s="1"/>
      <c r="W210" s="1"/>
      <c r="X210" s="1"/>
      <c r="Y210" s="1"/>
      <c r="Z210" s="1"/>
    </row>
    <row r="211" ht="27.0" customHeight="1">
      <c r="A211" s="1"/>
      <c r="B211" s="1"/>
      <c r="C211" s="1"/>
      <c r="D211" s="1"/>
      <c r="E211" s="1"/>
      <c r="F211" s="1"/>
      <c r="G211" s="1"/>
      <c r="H211" s="1"/>
      <c r="I211" s="1"/>
      <c r="J211" s="1"/>
      <c r="K211" s="1"/>
      <c r="L211" s="1"/>
      <c r="M211" s="1"/>
      <c r="N211" s="1"/>
      <c r="O211" s="13"/>
      <c r="P211" s="1"/>
      <c r="Q211" s="1"/>
      <c r="R211" s="1"/>
      <c r="S211" s="1"/>
      <c r="T211" s="1"/>
      <c r="U211" s="1"/>
      <c r="V211" s="1"/>
      <c r="W211" s="1"/>
      <c r="X211" s="1"/>
      <c r="Y211" s="1"/>
      <c r="Z211" s="1"/>
    </row>
    <row r="212" ht="27.0" customHeight="1">
      <c r="A212" s="1"/>
      <c r="B212" s="1"/>
      <c r="C212" s="1"/>
      <c r="D212" s="1"/>
      <c r="E212" s="1"/>
      <c r="F212" s="1"/>
      <c r="G212" s="1"/>
      <c r="H212" s="1"/>
      <c r="I212" s="1"/>
      <c r="J212" s="1"/>
      <c r="K212" s="1"/>
      <c r="L212" s="1"/>
      <c r="M212" s="1"/>
      <c r="N212" s="1"/>
      <c r="O212" s="13"/>
      <c r="P212" s="1"/>
      <c r="Q212" s="1"/>
      <c r="R212" s="1"/>
      <c r="S212" s="1"/>
      <c r="T212" s="1"/>
      <c r="U212" s="1"/>
      <c r="V212" s="1"/>
      <c r="W212" s="1"/>
      <c r="X212" s="1"/>
      <c r="Y212" s="1"/>
      <c r="Z212" s="1"/>
    </row>
    <row r="213" ht="27.0" customHeight="1">
      <c r="A213" s="1"/>
      <c r="B213" s="1"/>
      <c r="C213" s="1"/>
      <c r="D213" s="1"/>
      <c r="E213" s="1"/>
      <c r="F213" s="1"/>
      <c r="G213" s="1"/>
      <c r="H213" s="1"/>
      <c r="I213" s="1"/>
      <c r="J213" s="1"/>
      <c r="K213" s="1"/>
      <c r="L213" s="1"/>
      <c r="M213" s="1"/>
      <c r="N213" s="1"/>
      <c r="O213" s="13"/>
      <c r="P213" s="1"/>
      <c r="Q213" s="1"/>
      <c r="R213" s="1"/>
      <c r="S213" s="1"/>
      <c r="T213" s="1"/>
      <c r="U213" s="1"/>
      <c r="V213" s="1"/>
      <c r="W213" s="1"/>
      <c r="X213" s="1"/>
      <c r="Y213" s="1"/>
      <c r="Z213" s="1"/>
    </row>
    <row r="214" ht="27.0" customHeight="1">
      <c r="A214" s="1"/>
      <c r="B214" s="1"/>
      <c r="C214" s="1"/>
      <c r="D214" s="1"/>
      <c r="E214" s="1"/>
      <c r="F214" s="1"/>
      <c r="G214" s="1"/>
      <c r="H214" s="1"/>
      <c r="I214" s="1"/>
      <c r="J214" s="1"/>
      <c r="K214" s="1"/>
      <c r="L214" s="1"/>
      <c r="M214" s="1"/>
      <c r="N214" s="1"/>
      <c r="O214" s="13"/>
      <c r="P214" s="1"/>
      <c r="Q214" s="1"/>
      <c r="R214" s="1"/>
      <c r="S214" s="1"/>
      <c r="T214" s="1"/>
      <c r="U214" s="1"/>
      <c r="V214" s="1"/>
      <c r="W214" s="1"/>
      <c r="X214" s="1"/>
      <c r="Y214" s="1"/>
      <c r="Z214" s="1"/>
    </row>
    <row r="215" ht="27.0" customHeight="1">
      <c r="A215" s="1"/>
      <c r="B215" s="1"/>
      <c r="C215" s="1"/>
      <c r="D215" s="1"/>
      <c r="E215" s="1"/>
      <c r="F215" s="1"/>
      <c r="G215" s="1"/>
      <c r="H215" s="1"/>
      <c r="I215" s="1"/>
      <c r="J215" s="1"/>
      <c r="K215" s="1"/>
      <c r="L215" s="1"/>
      <c r="M215" s="1"/>
      <c r="N215" s="1"/>
      <c r="O215" s="13"/>
      <c r="P215" s="1"/>
      <c r="Q215" s="1"/>
      <c r="R215" s="1"/>
      <c r="S215" s="1"/>
      <c r="T215" s="1"/>
      <c r="U215" s="1"/>
      <c r="V215" s="1"/>
      <c r="W215" s="1"/>
      <c r="X215" s="1"/>
      <c r="Y215" s="1"/>
      <c r="Z215" s="1"/>
    </row>
    <row r="216" ht="27.0" customHeight="1">
      <c r="A216" s="1"/>
      <c r="B216" s="1"/>
      <c r="C216" s="1"/>
      <c r="D216" s="1"/>
      <c r="E216" s="1"/>
      <c r="F216" s="1"/>
      <c r="G216" s="1"/>
      <c r="H216" s="1"/>
      <c r="I216" s="1"/>
      <c r="J216" s="1"/>
      <c r="K216" s="1"/>
      <c r="L216" s="1"/>
      <c r="M216" s="1"/>
      <c r="N216" s="1"/>
      <c r="O216" s="13"/>
      <c r="P216" s="1"/>
      <c r="Q216" s="1"/>
      <c r="R216" s="1"/>
      <c r="S216" s="1"/>
      <c r="T216" s="1"/>
      <c r="U216" s="1"/>
      <c r="V216" s="1"/>
      <c r="W216" s="1"/>
      <c r="X216" s="1"/>
      <c r="Y216" s="1"/>
      <c r="Z216" s="1"/>
    </row>
    <row r="217" ht="27.0" customHeight="1">
      <c r="A217" s="1"/>
      <c r="B217" s="1"/>
      <c r="C217" s="1"/>
      <c r="D217" s="1"/>
      <c r="E217" s="1"/>
      <c r="F217" s="1"/>
      <c r="G217" s="1"/>
      <c r="H217" s="1"/>
      <c r="I217" s="1"/>
      <c r="J217" s="1"/>
      <c r="K217" s="1"/>
      <c r="L217" s="1"/>
      <c r="M217" s="1"/>
      <c r="N217" s="1"/>
      <c r="O217" s="13"/>
      <c r="P217" s="1"/>
      <c r="Q217" s="1"/>
      <c r="R217" s="1"/>
      <c r="S217" s="1"/>
      <c r="T217" s="1"/>
      <c r="U217" s="1"/>
      <c r="V217" s="1"/>
      <c r="W217" s="1"/>
      <c r="X217" s="1"/>
      <c r="Y217" s="1"/>
      <c r="Z217" s="1"/>
    </row>
    <row r="218" ht="27.0" customHeight="1">
      <c r="A218" s="1"/>
      <c r="B218" s="1"/>
      <c r="C218" s="1"/>
      <c r="D218" s="1"/>
      <c r="E218" s="1"/>
      <c r="F218" s="1"/>
      <c r="G218" s="1"/>
      <c r="H218" s="1"/>
      <c r="I218" s="1"/>
      <c r="J218" s="1"/>
      <c r="K218" s="1"/>
      <c r="L218" s="1"/>
      <c r="M218" s="1"/>
      <c r="N218" s="1"/>
      <c r="O218" s="13"/>
      <c r="P218" s="1"/>
      <c r="Q218" s="1"/>
      <c r="R218" s="1"/>
      <c r="S218" s="1"/>
      <c r="T218" s="1"/>
      <c r="U218" s="1"/>
      <c r="V218" s="1"/>
      <c r="W218" s="1"/>
      <c r="X218" s="1"/>
      <c r="Y218" s="1"/>
      <c r="Z218" s="1"/>
    </row>
    <row r="219" ht="27.0" customHeight="1">
      <c r="A219" s="1"/>
      <c r="B219" s="1"/>
      <c r="C219" s="1"/>
      <c r="D219" s="1"/>
      <c r="E219" s="1"/>
      <c r="F219" s="1"/>
      <c r="G219" s="1"/>
      <c r="H219" s="1"/>
      <c r="I219" s="1"/>
      <c r="J219" s="1"/>
      <c r="K219" s="1"/>
      <c r="L219" s="1"/>
      <c r="M219" s="1"/>
      <c r="N219" s="1"/>
      <c r="O219" s="13"/>
      <c r="P219" s="1"/>
      <c r="Q219" s="1"/>
      <c r="R219" s="1"/>
      <c r="S219" s="1"/>
      <c r="T219" s="1"/>
      <c r="U219" s="1"/>
      <c r="V219" s="1"/>
      <c r="W219" s="1"/>
      <c r="X219" s="1"/>
      <c r="Y219" s="1"/>
      <c r="Z219" s="1"/>
    </row>
    <row r="220" ht="27.0" customHeight="1">
      <c r="A220" s="1"/>
      <c r="B220" s="1"/>
      <c r="C220" s="1"/>
      <c r="D220" s="1"/>
      <c r="E220" s="1"/>
      <c r="F220" s="1"/>
      <c r="G220" s="1"/>
      <c r="H220" s="1"/>
      <c r="I220" s="1"/>
      <c r="J220" s="1"/>
      <c r="K220" s="1"/>
      <c r="L220" s="1"/>
      <c r="M220" s="1"/>
      <c r="N220" s="1"/>
      <c r="O220" s="13"/>
      <c r="P220" s="1"/>
      <c r="Q220" s="1"/>
      <c r="R220" s="1"/>
      <c r="S220" s="1"/>
      <c r="T220" s="1"/>
      <c r="U220" s="1"/>
      <c r="V220" s="1"/>
      <c r="W220" s="1"/>
      <c r="X220" s="1"/>
      <c r="Y220" s="1"/>
      <c r="Z220" s="1"/>
    </row>
    <row r="221" ht="27.0" customHeight="1">
      <c r="A221" s="1"/>
      <c r="B221" s="1"/>
      <c r="C221" s="1"/>
      <c r="D221" s="1"/>
      <c r="E221" s="1"/>
      <c r="F221" s="1"/>
      <c r="G221" s="1"/>
      <c r="H221" s="1"/>
      <c r="I221" s="1"/>
      <c r="J221" s="1"/>
      <c r="K221" s="1"/>
      <c r="L221" s="1"/>
      <c r="M221" s="1"/>
      <c r="N221" s="1"/>
      <c r="O221" s="13"/>
      <c r="P221" s="1"/>
      <c r="Q221" s="1"/>
      <c r="R221" s="1"/>
      <c r="S221" s="1"/>
      <c r="T221" s="1"/>
      <c r="U221" s="1"/>
      <c r="V221" s="1"/>
      <c r="W221" s="1"/>
      <c r="X221" s="1"/>
      <c r="Y221" s="1"/>
      <c r="Z221" s="1"/>
    </row>
    <row r="222" ht="27.0" customHeight="1">
      <c r="A222" s="1"/>
      <c r="B222" s="1"/>
      <c r="C222" s="1"/>
      <c r="D222" s="1"/>
      <c r="E222" s="1"/>
      <c r="F222" s="1"/>
      <c r="G222" s="1"/>
      <c r="H222" s="1"/>
      <c r="I222" s="1"/>
      <c r="J222" s="1"/>
      <c r="K222" s="1"/>
      <c r="L222" s="1"/>
      <c r="M222" s="1"/>
      <c r="N222" s="1"/>
      <c r="O222" s="13"/>
      <c r="P222" s="1"/>
      <c r="Q222" s="1"/>
      <c r="R222" s="1"/>
      <c r="S222" s="1"/>
      <c r="T222" s="1"/>
      <c r="U222" s="1"/>
      <c r="V222" s="1"/>
      <c r="W222" s="1"/>
      <c r="X222" s="1"/>
      <c r="Y222" s="1"/>
      <c r="Z222" s="1"/>
    </row>
    <row r="223" ht="27.0" customHeight="1">
      <c r="A223" s="1"/>
      <c r="B223" s="1"/>
      <c r="C223" s="1"/>
      <c r="D223" s="1"/>
      <c r="E223" s="1"/>
      <c r="F223" s="1"/>
      <c r="G223" s="1"/>
      <c r="H223" s="1"/>
      <c r="I223" s="1"/>
      <c r="J223" s="1"/>
      <c r="K223" s="1"/>
      <c r="L223" s="1"/>
      <c r="M223" s="1"/>
      <c r="N223" s="1"/>
      <c r="O223" s="13"/>
      <c r="P223" s="1"/>
      <c r="Q223" s="1"/>
      <c r="R223" s="1"/>
      <c r="S223" s="1"/>
      <c r="T223" s="1"/>
      <c r="U223" s="1"/>
      <c r="V223" s="1"/>
      <c r="W223" s="1"/>
      <c r="X223" s="1"/>
      <c r="Y223" s="1"/>
      <c r="Z223" s="1"/>
    </row>
    <row r="224" ht="27.0" customHeight="1">
      <c r="A224" s="1"/>
      <c r="B224" s="1"/>
      <c r="C224" s="1"/>
      <c r="D224" s="1"/>
      <c r="E224" s="1"/>
      <c r="F224" s="1"/>
      <c r="G224" s="1"/>
      <c r="H224" s="1"/>
      <c r="I224" s="1"/>
      <c r="J224" s="1"/>
      <c r="K224" s="1"/>
      <c r="L224" s="1"/>
      <c r="M224" s="1"/>
      <c r="N224" s="1"/>
      <c r="O224" s="13"/>
      <c r="P224" s="1"/>
      <c r="Q224" s="1"/>
      <c r="R224" s="1"/>
      <c r="S224" s="1"/>
      <c r="T224" s="1"/>
      <c r="U224" s="1"/>
      <c r="V224" s="1"/>
      <c r="W224" s="1"/>
      <c r="X224" s="1"/>
      <c r="Y224" s="1"/>
      <c r="Z224" s="1"/>
    </row>
    <row r="225" ht="27.0" customHeight="1">
      <c r="A225" s="1"/>
      <c r="B225" s="1"/>
      <c r="C225" s="1"/>
      <c r="D225" s="1"/>
      <c r="E225" s="1"/>
      <c r="F225" s="1"/>
      <c r="G225" s="1"/>
      <c r="H225" s="1"/>
      <c r="I225" s="1"/>
      <c r="J225" s="1"/>
      <c r="K225" s="1"/>
      <c r="L225" s="1"/>
      <c r="M225" s="1"/>
      <c r="N225" s="1"/>
      <c r="O225" s="13"/>
      <c r="P225" s="1"/>
      <c r="Q225" s="1"/>
      <c r="R225" s="1"/>
      <c r="S225" s="1"/>
      <c r="T225" s="1"/>
      <c r="U225" s="1"/>
      <c r="V225" s="1"/>
      <c r="W225" s="1"/>
      <c r="X225" s="1"/>
      <c r="Y225" s="1"/>
      <c r="Z225" s="1"/>
    </row>
    <row r="226" ht="27.0" customHeight="1">
      <c r="A226" s="1"/>
      <c r="B226" s="1"/>
      <c r="C226" s="1"/>
      <c r="D226" s="1"/>
      <c r="E226" s="1"/>
      <c r="F226" s="1"/>
      <c r="G226" s="1"/>
      <c r="H226" s="1"/>
      <c r="I226" s="1"/>
      <c r="J226" s="1"/>
      <c r="K226" s="1"/>
      <c r="L226" s="1"/>
      <c r="M226" s="1"/>
      <c r="N226" s="1"/>
      <c r="O226" s="13"/>
      <c r="P226" s="1"/>
      <c r="Q226" s="1"/>
      <c r="R226" s="1"/>
      <c r="S226" s="1"/>
      <c r="T226" s="1"/>
      <c r="U226" s="1"/>
      <c r="V226" s="1"/>
      <c r="W226" s="1"/>
      <c r="X226" s="1"/>
      <c r="Y226" s="1"/>
      <c r="Z226" s="1"/>
    </row>
    <row r="227" ht="27.0" customHeight="1">
      <c r="A227" s="1"/>
      <c r="B227" s="1"/>
      <c r="C227" s="1"/>
      <c r="D227" s="1"/>
      <c r="E227" s="1"/>
      <c r="F227" s="1"/>
      <c r="G227" s="1"/>
      <c r="H227" s="1"/>
      <c r="I227" s="1"/>
      <c r="J227" s="1"/>
      <c r="K227" s="1"/>
      <c r="L227" s="1"/>
      <c r="M227" s="1"/>
      <c r="N227" s="1"/>
      <c r="O227" s="13"/>
      <c r="P227" s="1"/>
      <c r="Q227" s="1"/>
      <c r="R227" s="1"/>
      <c r="S227" s="1"/>
      <c r="T227" s="1"/>
      <c r="U227" s="1"/>
      <c r="V227" s="1"/>
      <c r="W227" s="1"/>
      <c r="X227" s="1"/>
      <c r="Y227" s="1"/>
      <c r="Z227" s="1"/>
    </row>
    <row r="228" ht="27.0" customHeight="1">
      <c r="A228" s="1"/>
      <c r="B228" s="1"/>
      <c r="C228" s="1"/>
      <c r="D228" s="1"/>
      <c r="E228" s="1"/>
      <c r="F228" s="1"/>
      <c r="G228" s="1"/>
      <c r="H228" s="1"/>
      <c r="I228" s="1"/>
      <c r="J228" s="1"/>
      <c r="K228" s="1"/>
      <c r="L228" s="1"/>
      <c r="M228" s="1"/>
      <c r="N228" s="1"/>
      <c r="O228" s="13"/>
      <c r="P228" s="1"/>
      <c r="Q228" s="1"/>
      <c r="R228" s="1"/>
      <c r="S228" s="1"/>
      <c r="T228" s="1"/>
      <c r="U228" s="1"/>
      <c r="V228" s="1"/>
      <c r="W228" s="1"/>
      <c r="X228" s="1"/>
      <c r="Y228" s="1"/>
      <c r="Z228" s="1"/>
    </row>
    <row r="229" ht="27.0" customHeight="1">
      <c r="A229" s="1"/>
      <c r="B229" s="1"/>
      <c r="C229" s="1"/>
      <c r="D229" s="1"/>
      <c r="E229" s="1"/>
      <c r="F229" s="1"/>
      <c r="G229" s="1"/>
      <c r="H229" s="1"/>
      <c r="I229" s="1"/>
      <c r="J229" s="1"/>
      <c r="K229" s="1"/>
      <c r="L229" s="1"/>
      <c r="M229" s="1"/>
      <c r="N229" s="1"/>
      <c r="O229" s="13"/>
      <c r="P229" s="1"/>
      <c r="Q229" s="1"/>
      <c r="R229" s="1"/>
      <c r="S229" s="1"/>
      <c r="T229" s="1"/>
      <c r="U229" s="1"/>
      <c r="V229" s="1"/>
      <c r="W229" s="1"/>
      <c r="X229" s="1"/>
      <c r="Y229" s="1"/>
      <c r="Z229" s="1"/>
    </row>
    <row r="230" ht="27.0" customHeight="1">
      <c r="A230" s="1"/>
      <c r="B230" s="1"/>
      <c r="C230" s="1"/>
      <c r="D230" s="1"/>
      <c r="E230" s="1"/>
      <c r="F230" s="1"/>
      <c r="G230" s="1"/>
      <c r="H230" s="1"/>
      <c r="I230" s="1"/>
      <c r="J230" s="1"/>
      <c r="K230" s="1"/>
      <c r="L230" s="1"/>
      <c r="M230" s="1"/>
      <c r="N230" s="1"/>
      <c r="O230" s="13"/>
      <c r="P230" s="1"/>
      <c r="Q230" s="1"/>
      <c r="R230" s="1"/>
      <c r="S230" s="1"/>
      <c r="T230" s="1"/>
      <c r="U230" s="1"/>
      <c r="V230" s="1"/>
      <c r="W230" s="1"/>
      <c r="X230" s="1"/>
      <c r="Y230" s="1"/>
      <c r="Z230" s="1"/>
    </row>
    <row r="231" ht="27.0" customHeight="1">
      <c r="A231" s="1"/>
      <c r="B231" s="1"/>
      <c r="C231" s="1"/>
      <c r="D231" s="1"/>
      <c r="E231" s="1"/>
      <c r="F231" s="1"/>
      <c r="G231" s="1"/>
      <c r="H231" s="1"/>
      <c r="I231" s="1"/>
      <c r="J231" s="1"/>
      <c r="K231" s="1"/>
      <c r="L231" s="1"/>
      <c r="M231" s="1"/>
      <c r="N231" s="1"/>
      <c r="O231" s="13"/>
      <c r="P231" s="1"/>
      <c r="Q231" s="1"/>
      <c r="R231" s="1"/>
      <c r="S231" s="1"/>
      <c r="T231" s="1"/>
      <c r="U231" s="1"/>
      <c r="V231" s="1"/>
      <c r="W231" s="1"/>
      <c r="X231" s="1"/>
      <c r="Y231" s="1"/>
      <c r="Z231" s="1"/>
    </row>
    <row r="232" ht="27.0" customHeight="1">
      <c r="A232" s="1"/>
      <c r="B232" s="1"/>
      <c r="C232" s="1"/>
      <c r="D232" s="1"/>
      <c r="E232" s="1"/>
      <c r="F232" s="1"/>
      <c r="G232" s="1"/>
      <c r="H232" s="1"/>
      <c r="I232" s="1"/>
      <c r="J232" s="1"/>
      <c r="K232" s="1"/>
      <c r="L232" s="1"/>
      <c r="M232" s="1"/>
      <c r="N232" s="1"/>
      <c r="O232" s="13"/>
      <c r="P232" s="1"/>
      <c r="Q232" s="1"/>
      <c r="R232" s="1"/>
      <c r="S232" s="1"/>
      <c r="T232" s="1"/>
      <c r="U232" s="1"/>
      <c r="V232" s="1"/>
      <c r="W232" s="1"/>
      <c r="X232" s="1"/>
      <c r="Y232" s="1"/>
      <c r="Z232" s="1"/>
    </row>
    <row r="233" ht="27.0" customHeight="1">
      <c r="A233" s="1"/>
      <c r="B233" s="1"/>
      <c r="C233" s="1"/>
      <c r="D233" s="1"/>
      <c r="E233" s="1"/>
      <c r="F233" s="1"/>
      <c r="G233" s="1"/>
      <c r="H233" s="1"/>
      <c r="I233" s="1"/>
      <c r="J233" s="1"/>
      <c r="K233" s="1"/>
      <c r="L233" s="1"/>
      <c r="M233" s="1"/>
      <c r="N233" s="1"/>
      <c r="O233" s="13"/>
      <c r="P233" s="1"/>
      <c r="Q233" s="1"/>
      <c r="R233" s="1"/>
      <c r="S233" s="1"/>
      <c r="T233" s="1"/>
      <c r="U233" s="1"/>
      <c r="V233" s="1"/>
      <c r="W233" s="1"/>
      <c r="X233" s="1"/>
      <c r="Y233" s="1"/>
      <c r="Z233" s="1"/>
    </row>
    <row r="234" ht="27.0" customHeight="1">
      <c r="A234" s="1"/>
      <c r="B234" s="1"/>
      <c r="C234" s="1"/>
      <c r="D234" s="1"/>
      <c r="E234" s="1"/>
      <c r="F234" s="1"/>
      <c r="G234" s="1"/>
      <c r="H234" s="1"/>
      <c r="I234" s="1"/>
      <c r="J234" s="1"/>
      <c r="K234" s="1"/>
      <c r="L234" s="1"/>
      <c r="M234" s="1"/>
      <c r="N234" s="1"/>
      <c r="O234" s="13"/>
      <c r="P234" s="1"/>
      <c r="Q234" s="1"/>
      <c r="R234" s="1"/>
      <c r="S234" s="1"/>
      <c r="T234" s="1"/>
      <c r="U234" s="1"/>
      <c r="V234" s="1"/>
      <c r="W234" s="1"/>
      <c r="X234" s="1"/>
      <c r="Y234" s="1"/>
      <c r="Z234" s="1"/>
    </row>
    <row r="235" ht="27.0" customHeight="1">
      <c r="A235" s="1"/>
      <c r="B235" s="1"/>
      <c r="C235" s="1"/>
      <c r="D235" s="1"/>
      <c r="E235" s="1"/>
      <c r="F235" s="1"/>
      <c r="G235" s="1"/>
      <c r="H235" s="1"/>
      <c r="I235" s="1"/>
      <c r="J235" s="1"/>
      <c r="K235" s="1"/>
      <c r="L235" s="1"/>
      <c r="M235" s="1"/>
      <c r="N235" s="1"/>
      <c r="O235" s="13"/>
      <c r="P235" s="1"/>
      <c r="Q235" s="1"/>
      <c r="R235" s="1"/>
      <c r="S235" s="1"/>
      <c r="T235" s="1"/>
      <c r="U235" s="1"/>
      <c r="V235" s="1"/>
      <c r="W235" s="1"/>
      <c r="X235" s="1"/>
      <c r="Y235" s="1"/>
      <c r="Z235" s="1"/>
    </row>
    <row r="236" ht="27.0" customHeight="1">
      <c r="A236" s="1"/>
      <c r="B236" s="1"/>
      <c r="C236" s="1"/>
      <c r="D236" s="1"/>
      <c r="E236" s="1"/>
      <c r="F236" s="1"/>
      <c r="G236" s="1"/>
      <c r="H236" s="1"/>
      <c r="I236" s="1"/>
      <c r="J236" s="1"/>
      <c r="K236" s="1"/>
      <c r="L236" s="1"/>
      <c r="M236" s="1"/>
      <c r="N236" s="1"/>
      <c r="O236" s="13"/>
      <c r="P236" s="1"/>
      <c r="Q236" s="1"/>
      <c r="R236" s="1"/>
      <c r="S236" s="1"/>
      <c r="T236" s="1"/>
      <c r="U236" s="1"/>
      <c r="V236" s="1"/>
      <c r="W236" s="1"/>
      <c r="X236" s="1"/>
      <c r="Y236" s="1"/>
      <c r="Z236" s="1"/>
    </row>
    <row r="237" ht="27.0" customHeight="1">
      <c r="A237" s="1"/>
      <c r="B237" s="1"/>
      <c r="C237" s="1"/>
      <c r="D237" s="1"/>
      <c r="E237" s="1"/>
      <c r="F237" s="1"/>
      <c r="G237" s="1"/>
      <c r="H237" s="1"/>
      <c r="I237" s="1"/>
      <c r="J237" s="1"/>
      <c r="K237" s="1"/>
      <c r="L237" s="1"/>
      <c r="M237" s="1"/>
      <c r="N237" s="1"/>
      <c r="O237" s="13"/>
      <c r="P237" s="1"/>
      <c r="Q237" s="1"/>
      <c r="R237" s="1"/>
      <c r="S237" s="1"/>
      <c r="T237" s="1"/>
      <c r="U237" s="1"/>
      <c r="V237" s="1"/>
      <c r="W237" s="1"/>
      <c r="X237" s="1"/>
      <c r="Y237" s="1"/>
      <c r="Z237" s="1"/>
    </row>
    <row r="238" ht="27.0" customHeight="1">
      <c r="A238" s="1"/>
      <c r="B238" s="1"/>
      <c r="C238" s="1"/>
      <c r="D238" s="1"/>
      <c r="E238" s="1"/>
      <c r="F238" s="1"/>
      <c r="G238" s="1"/>
      <c r="H238" s="1"/>
      <c r="I238" s="1"/>
      <c r="J238" s="1"/>
      <c r="K238" s="1"/>
      <c r="L238" s="1"/>
      <c r="M238" s="1"/>
      <c r="N238" s="1"/>
      <c r="O238" s="13"/>
      <c r="P238" s="1"/>
      <c r="Q238" s="1"/>
      <c r="R238" s="1"/>
      <c r="S238" s="1"/>
      <c r="T238" s="1"/>
      <c r="U238" s="1"/>
      <c r="V238" s="1"/>
      <c r="W238" s="1"/>
      <c r="X238" s="1"/>
      <c r="Y238" s="1"/>
      <c r="Z238" s="1"/>
    </row>
    <row r="239" ht="27.0" customHeight="1">
      <c r="A239" s="1"/>
      <c r="B239" s="1"/>
      <c r="C239" s="1"/>
      <c r="D239" s="1"/>
      <c r="E239" s="1"/>
      <c r="F239" s="1"/>
      <c r="G239" s="1"/>
      <c r="H239" s="1"/>
      <c r="I239" s="1"/>
      <c r="J239" s="1"/>
      <c r="K239" s="1"/>
      <c r="L239" s="1"/>
      <c r="M239" s="1"/>
      <c r="N239" s="1"/>
      <c r="O239" s="13"/>
      <c r="P239" s="1"/>
      <c r="Q239" s="1"/>
      <c r="R239" s="1"/>
      <c r="S239" s="1"/>
      <c r="T239" s="1"/>
      <c r="U239" s="1"/>
      <c r="V239" s="1"/>
      <c r="W239" s="1"/>
      <c r="X239" s="1"/>
      <c r="Y239" s="1"/>
      <c r="Z239" s="1"/>
    </row>
    <row r="240" ht="27.0" customHeight="1">
      <c r="A240" s="1"/>
      <c r="B240" s="1"/>
      <c r="C240" s="1"/>
      <c r="D240" s="1"/>
      <c r="E240" s="1"/>
      <c r="F240" s="1"/>
      <c r="G240" s="1"/>
      <c r="H240" s="1"/>
      <c r="I240" s="1"/>
      <c r="J240" s="1"/>
      <c r="K240" s="1"/>
      <c r="L240" s="1"/>
      <c r="M240" s="1"/>
      <c r="N240" s="1"/>
      <c r="O240" s="13"/>
      <c r="P240" s="1"/>
      <c r="Q240" s="1"/>
      <c r="R240" s="1"/>
      <c r="S240" s="1"/>
      <c r="T240" s="1"/>
      <c r="U240" s="1"/>
      <c r="V240" s="1"/>
      <c r="W240" s="1"/>
      <c r="X240" s="1"/>
      <c r="Y240" s="1"/>
      <c r="Z240" s="1"/>
    </row>
    <row r="241" ht="27.0" customHeight="1">
      <c r="A241" s="1"/>
      <c r="B241" s="1"/>
      <c r="C241" s="1"/>
      <c r="D241" s="1"/>
      <c r="E241" s="1"/>
      <c r="F241" s="1"/>
      <c r="G241" s="1"/>
      <c r="H241" s="1"/>
      <c r="I241" s="1"/>
      <c r="J241" s="1"/>
      <c r="K241" s="1"/>
      <c r="L241" s="1"/>
      <c r="M241" s="1"/>
      <c r="N241" s="1"/>
      <c r="O241" s="13"/>
      <c r="P241" s="1"/>
      <c r="Q241" s="1"/>
      <c r="R241" s="1"/>
      <c r="S241" s="1"/>
      <c r="T241" s="1"/>
      <c r="U241" s="1"/>
      <c r="V241" s="1"/>
      <c r="W241" s="1"/>
      <c r="X241" s="1"/>
      <c r="Y241" s="1"/>
      <c r="Z241" s="1"/>
    </row>
    <row r="242" ht="27.0" customHeight="1">
      <c r="A242" s="1"/>
      <c r="B242" s="1"/>
      <c r="C242" s="1"/>
      <c r="D242" s="1"/>
      <c r="E242" s="1"/>
      <c r="F242" s="1"/>
      <c r="G242" s="1"/>
      <c r="H242" s="1"/>
      <c r="I242" s="1"/>
      <c r="J242" s="1"/>
      <c r="K242" s="1"/>
      <c r="L242" s="1"/>
      <c r="M242" s="1"/>
      <c r="N242" s="1"/>
      <c r="O242" s="13"/>
      <c r="P242" s="1"/>
      <c r="Q242" s="1"/>
      <c r="R242" s="1"/>
      <c r="S242" s="1"/>
      <c r="T242" s="1"/>
      <c r="U242" s="1"/>
      <c r="V242" s="1"/>
      <c r="W242" s="1"/>
      <c r="X242" s="1"/>
      <c r="Y242" s="1"/>
      <c r="Z242" s="1"/>
    </row>
    <row r="243" ht="27.0" customHeight="1">
      <c r="A243" s="1"/>
      <c r="B243" s="1"/>
      <c r="C243" s="1"/>
      <c r="D243" s="1"/>
      <c r="E243" s="1"/>
      <c r="F243" s="1"/>
      <c r="G243" s="1"/>
      <c r="H243" s="1"/>
      <c r="I243" s="1"/>
      <c r="J243" s="1"/>
      <c r="K243" s="1"/>
      <c r="L243" s="1"/>
      <c r="M243" s="1"/>
      <c r="N243" s="1"/>
      <c r="O243" s="13"/>
      <c r="P243" s="1"/>
      <c r="Q243" s="1"/>
      <c r="R243" s="1"/>
      <c r="S243" s="1"/>
      <c r="T243" s="1"/>
      <c r="U243" s="1"/>
      <c r="V243" s="1"/>
      <c r="W243" s="1"/>
      <c r="X243" s="1"/>
      <c r="Y243" s="1"/>
      <c r="Z243" s="1"/>
    </row>
    <row r="244" ht="27.0" customHeight="1">
      <c r="A244" s="1"/>
      <c r="B244" s="1"/>
      <c r="C244" s="1"/>
      <c r="D244" s="1"/>
      <c r="E244" s="1"/>
      <c r="F244" s="1"/>
      <c r="G244" s="1"/>
      <c r="H244" s="1"/>
      <c r="I244" s="1"/>
      <c r="J244" s="1"/>
      <c r="K244" s="1"/>
      <c r="L244" s="1"/>
      <c r="M244" s="1"/>
      <c r="N244" s="1"/>
      <c r="O244" s="13"/>
      <c r="P244" s="1"/>
      <c r="Q244" s="1"/>
      <c r="R244" s="1"/>
      <c r="S244" s="1"/>
      <c r="T244" s="1"/>
      <c r="U244" s="1"/>
      <c r="V244" s="1"/>
      <c r="W244" s="1"/>
      <c r="X244" s="1"/>
      <c r="Y244" s="1"/>
      <c r="Z244" s="1"/>
    </row>
    <row r="245" ht="27.0" customHeight="1">
      <c r="A245" s="1"/>
      <c r="B245" s="1"/>
      <c r="C245" s="1"/>
      <c r="D245" s="1"/>
      <c r="E245" s="1"/>
      <c r="F245" s="1"/>
      <c r="G245" s="1"/>
      <c r="H245" s="1"/>
      <c r="I245" s="1"/>
      <c r="J245" s="1"/>
      <c r="K245" s="1"/>
      <c r="L245" s="1"/>
      <c r="M245" s="1"/>
      <c r="N245" s="1"/>
      <c r="O245" s="13"/>
      <c r="P245" s="1"/>
      <c r="Q245" s="1"/>
      <c r="R245" s="1"/>
      <c r="S245" s="1"/>
      <c r="T245" s="1"/>
      <c r="U245" s="1"/>
      <c r="V245" s="1"/>
      <c r="W245" s="1"/>
      <c r="X245" s="1"/>
      <c r="Y245" s="1"/>
      <c r="Z245" s="1"/>
    </row>
    <row r="246" ht="27.0" customHeight="1">
      <c r="A246" s="1"/>
      <c r="B246" s="1"/>
      <c r="C246" s="1"/>
      <c r="D246" s="1"/>
      <c r="E246" s="1"/>
      <c r="F246" s="1"/>
      <c r="G246" s="1"/>
      <c r="H246" s="1"/>
      <c r="I246" s="1"/>
      <c r="J246" s="1"/>
      <c r="K246" s="1"/>
      <c r="L246" s="1"/>
      <c r="M246" s="1"/>
      <c r="N246" s="1"/>
      <c r="O246" s="13"/>
      <c r="P246" s="1"/>
      <c r="Q246" s="1"/>
      <c r="R246" s="1"/>
      <c r="S246" s="1"/>
      <c r="T246" s="1"/>
      <c r="U246" s="1"/>
      <c r="V246" s="1"/>
      <c r="W246" s="1"/>
      <c r="X246" s="1"/>
      <c r="Y246" s="1"/>
      <c r="Z246" s="1"/>
    </row>
    <row r="247" ht="27.0" customHeight="1">
      <c r="A247" s="1"/>
      <c r="B247" s="1"/>
      <c r="C247" s="1"/>
      <c r="D247" s="1"/>
      <c r="E247" s="1"/>
      <c r="F247" s="1"/>
      <c r="G247" s="1"/>
      <c r="H247" s="1"/>
      <c r="I247" s="1"/>
      <c r="J247" s="1"/>
      <c r="K247" s="1"/>
      <c r="L247" s="1"/>
      <c r="M247" s="1"/>
      <c r="N247" s="1"/>
      <c r="O247" s="13"/>
      <c r="P247" s="1"/>
      <c r="Q247" s="1"/>
      <c r="R247" s="1"/>
      <c r="S247" s="1"/>
      <c r="T247" s="1"/>
      <c r="U247" s="1"/>
      <c r="V247" s="1"/>
      <c r="W247" s="1"/>
      <c r="X247" s="1"/>
      <c r="Y247" s="1"/>
      <c r="Z247" s="1"/>
    </row>
    <row r="248" ht="27.0" customHeight="1">
      <c r="A248" s="1"/>
      <c r="B248" s="1"/>
      <c r="C248" s="1"/>
      <c r="D248" s="1"/>
      <c r="E248" s="1"/>
      <c r="F248" s="1"/>
      <c r="G248" s="1"/>
      <c r="H248" s="1"/>
      <c r="I248" s="1"/>
      <c r="J248" s="1"/>
      <c r="K248" s="1"/>
      <c r="L248" s="1"/>
      <c r="M248" s="1"/>
      <c r="N248" s="1"/>
      <c r="O248" s="13"/>
      <c r="P248" s="1"/>
      <c r="Q248" s="1"/>
      <c r="R248" s="1"/>
      <c r="S248" s="1"/>
      <c r="T248" s="1"/>
      <c r="U248" s="1"/>
      <c r="V248" s="1"/>
      <c r="W248" s="1"/>
      <c r="X248" s="1"/>
      <c r="Y248" s="1"/>
      <c r="Z248" s="1"/>
    </row>
    <row r="249" ht="27.0" customHeight="1">
      <c r="A249" s="1"/>
      <c r="B249" s="1"/>
      <c r="C249" s="1"/>
      <c r="D249" s="1"/>
      <c r="E249" s="1"/>
      <c r="F249" s="1"/>
      <c r="G249" s="1"/>
      <c r="H249" s="1"/>
      <c r="I249" s="1"/>
      <c r="J249" s="1"/>
      <c r="K249" s="1"/>
      <c r="L249" s="1"/>
      <c r="M249" s="1"/>
      <c r="N249" s="1"/>
      <c r="O249" s="13"/>
      <c r="P249" s="1"/>
      <c r="Q249" s="1"/>
      <c r="R249" s="1"/>
      <c r="S249" s="1"/>
      <c r="T249" s="1"/>
      <c r="U249" s="1"/>
      <c r="V249" s="1"/>
      <c r="W249" s="1"/>
      <c r="X249" s="1"/>
      <c r="Y249" s="1"/>
      <c r="Z249" s="1"/>
    </row>
    <row r="250" ht="27.0" customHeight="1">
      <c r="A250" s="1"/>
      <c r="B250" s="1"/>
      <c r="C250" s="1"/>
      <c r="D250" s="1"/>
      <c r="E250" s="1"/>
      <c r="F250" s="1"/>
      <c r="G250" s="1"/>
      <c r="H250" s="1"/>
      <c r="I250" s="1"/>
      <c r="J250" s="1"/>
      <c r="K250" s="1"/>
      <c r="L250" s="1"/>
      <c r="M250" s="1"/>
      <c r="N250" s="1"/>
      <c r="O250" s="13"/>
      <c r="P250" s="1"/>
      <c r="Q250" s="1"/>
      <c r="R250" s="1"/>
      <c r="S250" s="1"/>
      <c r="T250" s="1"/>
      <c r="U250" s="1"/>
      <c r="V250" s="1"/>
      <c r="W250" s="1"/>
      <c r="X250" s="1"/>
      <c r="Y250" s="1"/>
      <c r="Z250" s="1"/>
    </row>
    <row r="251" ht="27.0" customHeight="1">
      <c r="A251" s="1"/>
      <c r="B251" s="1"/>
      <c r="C251" s="1"/>
      <c r="D251" s="1"/>
      <c r="E251" s="1"/>
      <c r="F251" s="1"/>
      <c r="G251" s="1"/>
      <c r="H251" s="1"/>
      <c r="I251" s="1"/>
      <c r="J251" s="1"/>
      <c r="K251" s="1"/>
      <c r="L251" s="1"/>
      <c r="M251" s="1"/>
      <c r="N251" s="1"/>
      <c r="O251" s="13"/>
      <c r="P251" s="1"/>
      <c r="Q251" s="1"/>
      <c r="R251" s="1"/>
      <c r="S251" s="1"/>
      <c r="T251" s="1"/>
      <c r="U251" s="1"/>
      <c r="V251" s="1"/>
      <c r="W251" s="1"/>
      <c r="X251" s="1"/>
      <c r="Y251" s="1"/>
      <c r="Z251" s="1"/>
    </row>
    <row r="252" ht="27.0" customHeight="1">
      <c r="A252" s="1"/>
      <c r="B252" s="1"/>
      <c r="C252" s="1"/>
      <c r="D252" s="1"/>
      <c r="E252" s="1"/>
      <c r="F252" s="1"/>
      <c r="G252" s="1"/>
      <c r="H252" s="1"/>
      <c r="I252" s="1"/>
      <c r="J252" s="1"/>
      <c r="K252" s="1"/>
      <c r="L252" s="1"/>
      <c r="M252" s="1"/>
      <c r="N252" s="1"/>
      <c r="O252" s="13"/>
      <c r="P252" s="1"/>
      <c r="Q252" s="1"/>
      <c r="R252" s="1"/>
      <c r="S252" s="1"/>
      <c r="T252" s="1"/>
      <c r="U252" s="1"/>
      <c r="V252" s="1"/>
      <c r="W252" s="1"/>
      <c r="X252" s="1"/>
      <c r="Y252" s="1"/>
      <c r="Z252" s="1"/>
    </row>
    <row r="253" ht="27.0" customHeight="1">
      <c r="A253" s="1"/>
      <c r="B253" s="1"/>
      <c r="C253" s="1"/>
      <c r="D253" s="1"/>
      <c r="E253" s="1"/>
      <c r="F253" s="1"/>
      <c r="G253" s="1"/>
      <c r="H253" s="1"/>
      <c r="I253" s="1"/>
      <c r="J253" s="1"/>
      <c r="K253" s="1"/>
      <c r="L253" s="1"/>
      <c r="M253" s="1"/>
      <c r="N253" s="1"/>
      <c r="O253" s="13"/>
      <c r="P253" s="1"/>
      <c r="Q253" s="1"/>
      <c r="R253" s="1"/>
      <c r="S253" s="1"/>
      <c r="T253" s="1"/>
      <c r="U253" s="1"/>
      <c r="V253" s="1"/>
      <c r="W253" s="1"/>
      <c r="X253" s="1"/>
      <c r="Y253" s="1"/>
      <c r="Z253" s="1"/>
    </row>
    <row r="254" ht="27.0" customHeight="1">
      <c r="A254" s="1"/>
      <c r="B254" s="1"/>
      <c r="C254" s="1"/>
      <c r="D254" s="1"/>
      <c r="E254" s="1"/>
      <c r="F254" s="1"/>
      <c r="G254" s="1"/>
      <c r="H254" s="1"/>
      <c r="I254" s="1"/>
      <c r="J254" s="1"/>
      <c r="K254" s="1"/>
      <c r="L254" s="1"/>
      <c r="M254" s="1"/>
      <c r="N254" s="1"/>
      <c r="O254" s="13"/>
      <c r="P254" s="1"/>
      <c r="Q254" s="1"/>
      <c r="R254" s="1"/>
      <c r="S254" s="1"/>
      <c r="T254" s="1"/>
      <c r="U254" s="1"/>
      <c r="V254" s="1"/>
      <c r="W254" s="1"/>
      <c r="X254" s="1"/>
      <c r="Y254" s="1"/>
      <c r="Z254" s="1"/>
    </row>
    <row r="255" ht="27.0" customHeight="1">
      <c r="A255" s="1"/>
      <c r="B255" s="1"/>
      <c r="C255" s="1"/>
      <c r="D255" s="1"/>
      <c r="E255" s="1"/>
      <c r="F255" s="1"/>
      <c r="G255" s="1"/>
      <c r="H255" s="1"/>
      <c r="I255" s="1"/>
      <c r="J255" s="1"/>
      <c r="K255" s="1"/>
      <c r="L255" s="1"/>
      <c r="M255" s="1"/>
      <c r="N255" s="1"/>
      <c r="O255" s="13"/>
      <c r="P255" s="1"/>
      <c r="Q255" s="1"/>
      <c r="R255" s="1"/>
      <c r="S255" s="1"/>
      <c r="T255" s="1"/>
      <c r="U255" s="1"/>
      <c r="V255" s="1"/>
      <c r="W255" s="1"/>
      <c r="X255" s="1"/>
      <c r="Y255" s="1"/>
      <c r="Z255" s="1"/>
    </row>
    <row r="256" ht="27.0" customHeight="1">
      <c r="A256" s="1"/>
      <c r="B256" s="1"/>
      <c r="C256" s="1"/>
      <c r="D256" s="1"/>
      <c r="E256" s="1"/>
      <c r="F256" s="1"/>
      <c r="G256" s="1"/>
      <c r="H256" s="1"/>
      <c r="I256" s="1"/>
      <c r="J256" s="1"/>
      <c r="K256" s="1"/>
      <c r="L256" s="1"/>
      <c r="M256" s="1"/>
      <c r="N256" s="1"/>
      <c r="O256" s="13"/>
      <c r="P256" s="1"/>
      <c r="Q256" s="1"/>
      <c r="R256" s="1"/>
      <c r="S256" s="1"/>
      <c r="T256" s="1"/>
      <c r="U256" s="1"/>
      <c r="V256" s="1"/>
      <c r="W256" s="1"/>
      <c r="X256" s="1"/>
      <c r="Y256" s="1"/>
      <c r="Z256" s="1"/>
    </row>
    <row r="257" ht="27.0" customHeight="1">
      <c r="A257" s="1"/>
      <c r="B257" s="1"/>
      <c r="C257" s="1"/>
      <c r="D257" s="1"/>
      <c r="E257" s="1"/>
      <c r="F257" s="1"/>
      <c r="G257" s="1"/>
      <c r="H257" s="1"/>
      <c r="I257" s="1"/>
      <c r="J257" s="1"/>
      <c r="K257" s="1"/>
      <c r="L257" s="1"/>
      <c r="M257" s="1"/>
      <c r="N257" s="1"/>
      <c r="O257" s="13"/>
      <c r="P257" s="1"/>
      <c r="Q257" s="1"/>
      <c r="R257" s="1"/>
      <c r="S257" s="1"/>
      <c r="T257" s="1"/>
      <c r="U257" s="1"/>
      <c r="V257" s="1"/>
      <c r="W257" s="1"/>
      <c r="X257" s="1"/>
      <c r="Y257" s="1"/>
      <c r="Z257" s="1"/>
    </row>
    <row r="258" ht="27.0" customHeight="1">
      <c r="A258" s="1"/>
      <c r="B258" s="1"/>
      <c r="C258" s="1"/>
      <c r="D258" s="1"/>
      <c r="E258" s="1"/>
      <c r="F258" s="1"/>
      <c r="G258" s="1"/>
      <c r="H258" s="1"/>
      <c r="I258" s="1"/>
      <c r="J258" s="1"/>
      <c r="K258" s="1"/>
      <c r="L258" s="1"/>
      <c r="M258" s="1"/>
      <c r="N258" s="1"/>
      <c r="O258" s="13"/>
      <c r="P258" s="1"/>
      <c r="Q258" s="1"/>
      <c r="R258" s="1"/>
      <c r="S258" s="1"/>
      <c r="T258" s="1"/>
      <c r="U258" s="1"/>
      <c r="V258" s="1"/>
      <c r="W258" s="1"/>
      <c r="X258" s="1"/>
      <c r="Y258" s="1"/>
      <c r="Z258" s="1"/>
    </row>
    <row r="259" ht="27.0" customHeight="1">
      <c r="A259" s="1"/>
      <c r="B259" s="1"/>
      <c r="C259" s="1"/>
      <c r="D259" s="1"/>
      <c r="E259" s="1"/>
      <c r="F259" s="1"/>
      <c r="G259" s="1"/>
      <c r="H259" s="1"/>
      <c r="I259" s="1"/>
      <c r="J259" s="1"/>
      <c r="K259" s="1"/>
      <c r="L259" s="1"/>
      <c r="M259" s="1"/>
      <c r="N259" s="1"/>
      <c r="O259" s="13"/>
      <c r="P259" s="1"/>
      <c r="Q259" s="1"/>
      <c r="R259" s="1"/>
      <c r="S259" s="1"/>
      <c r="T259" s="1"/>
      <c r="U259" s="1"/>
      <c r="V259" s="1"/>
      <c r="W259" s="1"/>
      <c r="X259" s="1"/>
      <c r="Y259" s="1"/>
      <c r="Z259" s="1"/>
    </row>
    <row r="260" ht="27.0" customHeight="1">
      <c r="A260" s="1"/>
      <c r="B260" s="1"/>
      <c r="C260" s="1"/>
      <c r="D260" s="1"/>
      <c r="E260" s="1"/>
      <c r="F260" s="1"/>
      <c r="G260" s="1"/>
      <c r="H260" s="1"/>
      <c r="I260" s="1"/>
      <c r="J260" s="1"/>
      <c r="K260" s="1"/>
      <c r="L260" s="1"/>
      <c r="M260" s="1"/>
      <c r="N260" s="1"/>
      <c r="O260" s="13"/>
      <c r="P260" s="1"/>
      <c r="Q260" s="1"/>
      <c r="R260" s="1"/>
      <c r="S260" s="1"/>
      <c r="T260" s="1"/>
      <c r="U260" s="1"/>
      <c r="V260" s="1"/>
      <c r="W260" s="1"/>
      <c r="X260" s="1"/>
      <c r="Y260" s="1"/>
      <c r="Z260" s="1"/>
    </row>
    <row r="261" ht="27.0" customHeight="1">
      <c r="A261" s="1"/>
      <c r="B261" s="1"/>
      <c r="C261" s="1"/>
      <c r="D261" s="1"/>
      <c r="E261" s="1"/>
      <c r="F261" s="1"/>
      <c r="G261" s="1"/>
      <c r="H261" s="1"/>
      <c r="I261" s="1"/>
      <c r="J261" s="1"/>
      <c r="K261" s="1"/>
      <c r="L261" s="1"/>
      <c r="M261" s="1"/>
      <c r="N261" s="1"/>
      <c r="O261" s="13"/>
      <c r="P261" s="1"/>
      <c r="Q261" s="1"/>
      <c r="R261" s="1"/>
      <c r="S261" s="1"/>
      <c r="T261" s="1"/>
      <c r="U261" s="1"/>
      <c r="V261" s="1"/>
      <c r="W261" s="1"/>
      <c r="X261" s="1"/>
      <c r="Y261" s="1"/>
      <c r="Z261" s="1"/>
    </row>
    <row r="262" ht="27.0" customHeight="1">
      <c r="A262" s="1"/>
      <c r="B262" s="1"/>
      <c r="C262" s="1"/>
      <c r="D262" s="1"/>
      <c r="E262" s="1"/>
      <c r="F262" s="1"/>
      <c r="G262" s="1"/>
      <c r="H262" s="1"/>
      <c r="I262" s="1"/>
      <c r="J262" s="1"/>
      <c r="K262" s="1"/>
      <c r="L262" s="1"/>
      <c r="M262" s="1"/>
      <c r="N262" s="1"/>
      <c r="O262" s="13"/>
      <c r="P262" s="1"/>
      <c r="Q262" s="1"/>
      <c r="R262" s="1"/>
      <c r="S262" s="1"/>
      <c r="T262" s="1"/>
      <c r="U262" s="1"/>
      <c r="V262" s="1"/>
      <c r="W262" s="1"/>
      <c r="X262" s="1"/>
      <c r="Y262" s="1"/>
      <c r="Z262" s="1"/>
    </row>
    <row r="263" ht="27.0" customHeight="1">
      <c r="A263" s="1"/>
      <c r="B263" s="1"/>
      <c r="C263" s="1"/>
      <c r="D263" s="1"/>
      <c r="E263" s="1"/>
      <c r="F263" s="1"/>
      <c r="G263" s="1"/>
      <c r="H263" s="1"/>
      <c r="I263" s="1"/>
      <c r="J263" s="1"/>
      <c r="K263" s="1"/>
      <c r="L263" s="1"/>
      <c r="M263" s="1"/>
      <c r="N263" s="1"/>
      <c r="O263" s="13"/>
      <c r="P263" s="1"/>
      <c r="Q263" s="1"/>
      <c r="R263" s="1"/>
      <c r="S263" s="1"/>
      <c r="T263" s="1"/>
      <c r="U263" s="1"/>
      <c r="V263" s="1"/>
      <c r="W263" s="1"/>
      <c r="X263" s="1"/>
      <c r="Y263" s="1"/>
      <c r="Z263" s="1"/>
    </row>
    <row r="264" ht="27.0" customHeight="1">
      <c r="A264" s="1"/>
      <c r="B264" s="1"/>
      <c r="C264" s="1"/>
      <c r="D264" s="1"/>
      <c r="E264" s="1"/>
      <c r="F264" s="1"/>
      <c r="G264" s="1"/>
      <c r="H264" s="1"/>
      <c r="I264" s="1"/>
      <c r="J264" s="1"/>
      <c r="K264" s="1"/>
      <c r="L264" s="1"/>
      <c r="M264" s="1"/>
      <c r="N264" s="1"/>
      <c r="O264" s="13"/>
      <c r="P264" s="1"/>
      <c r="Q264" s="1"/>
      <c r="R264" s="1"/>
      <c r="S264" s="1"/>
      <c r="T264" s="1"/>
      <c r="U264" s="1"/>
      <c r="V264" s="1"/>
      <c r="W264" s="1"/>
      <c r="X264" s="1"/>
      <c r="Y264" s="1"/>
      <c r="Z264" s="1"/>
    </row>
    <row r="265" ht="27.0" customHeight="1">
      <c r="A265" s="1"/>
      <c r="B265" s="1"/>
      <c r="C265" s="1"/>
      <c r="D265" s="1"/>
      <c r="E265" s="1"/>
      <c r="F265" s="1"/>
      <c r="G265" s="1"/>
      <c r="H265" s="1"/>
      <c r="I265" s="1"/>
      <c r="J265" s="1"/>
      <c r="K265" s="1"/>
      <c r="L265" s="1"/>
      <c r="M265" s="1"/>
      <c r="N265" s="1"/>
      <c r="O265" s="13"/>
      <c r="P265" s="1"/>
      <c r="Q265" s="1"/>
      <c r="R265" s="1"/>
      <c r="S265" s="1"/>
      <c r="T265" s="1"/>
      <c r="U265" s="1"/>
      <c r="V265" s="1"/>
      <c r="W265" s="1"/>
      <c r="X265" s="1"/>
      <c r="Y265" s="1"/>
      <c r="Z265" s="1"/>
    </row>
    <row r="266" ht="27.0" customHeight="1">
      <c r="A266" s="1"/>
      <c r="B266" s="1"/>
      <c r="C266" s="1"/>
      <c r="D266" s="1"/>
      <c r="E266" s="1"/>
      <c r="F266" s="1"/>
      <c r="G266" s="1"/>
      <c r="H266" s="1"/>
      <c r="I266" s="1"/>
      <c r="J266" s="1"/>
      <c r="K266" s="1"/>
      <c r="L266" s="1"/>
      <c r="M266" s="1"/>
      <c r="N266" s="1"/>
      <c r="O266" s="13"/>
      <c r="P266" s="1"/>
      <c r="Q266" s="1"/>
      <c r="R266" s="1"/>
      <c r="S266" s="1"/>
      <c r="T266" s="1"/>
      <c r="U266" s="1"/>
      <c r="V266" s="1"/>
      <c r="W266" s="1"/>
      <c r="X266" s="1"/>
      <c r="Y266" s="1"/>
      <c r="Z266" s="1"/>
    </row>
    <row r="267" ht="27.0" customHeight="1">
      <c r="A267" s="1"/>
      <c r="B267" s="1"/>
      <c r="C267" s="1"/>
      <c r="D267" s="1"/>
      <c r="E267" s="1"/>
      <c r="F267" s="1"/>
      <c r="G267" s="1"/>
      <c r="H267" s="1"/>
      <c r="I267" s="1"/>
      <c r="J267" s="1"/>
      <c r="K267" s="1"/>
      <c r="L267" s="1"/>
      <c r="M267" s="1"/>
      <c r="N267" s="1"/>
      <c r="O267" s="13"/>
      <c r="P267" s="1"/>
      <c r="Q267" s="1"/>
      <c r="R267" s="1"/>
      <c r="S267" s="1"/>
      <c r="T267" s="1"/>
      <c r="U267" s="1"/>
      <c r="V267" s="1"/>
      <c r="W267" s="1"/>
      <c r="X267" s="1"/>
      <c r="Y267" s="1"/>
      <c r="Z267" s="1"/>
    </row>
    <row r="268" ht="27.0" customHeight="1">
      <c r="A268" s="1"/>
      <c r="B268" s="1"/>
      <c r="C268" s="1"/>
      <c r="D268" s="1"/>
      <c r="E268" s="1"/>
      <c r="F268" s="1"/>
      <c r="G268" s="1"/>
      <c r="H268" s="1"/>
      <c r="I268" s="1"/>
      <c r="J268" s="1"/>
      <c r="K268" s="1"/>
      <c r="L268" s="1"/>
      <c r="M268" s="1"/>
      <c r="N268" s="1"/>
      <c r="O268" s="13"/>
      <c r="P268" s="1"/>
      <c r="Q268" s="1"/>
      <c r="R268" s="1"/>
      <c r="S268" s="1"/>
      <c r="T268" s="1"/>
      <c r="U268" s="1"/>
      <c r="V268" s="1"/>
      <c r="W268" s="1"/>
      <c r="X268" s="1"/>
      <c r="Y268" s="1"/>
      <c r="Z268" s="1"/>
    </row>
    <row r="269" ht="27.0" customHeight="1">
      <c r="A269" s="1"/>
      <c r="B269" s="1"/>
      <c r="C269" s="1"/>
      <c r="D269" s="1"/>
      <c r="E269" s="1"/>
      <c r="F269" s="1"/>
      <c r="G269" s="1"/>
      <c r="H269" s="1"/>
      <c r="I269" s="1"/>
      <c r="J269" s="1"/>
      <c r="K269" s="1"/>
      <c r="L269" s="1"/>
      <c r="M269" s="1"/>
      <c r="N269" s="1"/>
      <c r="O269" s="13"/>
      <c r="P269" s="1"/>
      <c r="Q269" s="1"/>
      <c r="R269" s="1"/>
      <c r="S269" s="1"/>
      <c r="T269" s="1"/>
      <c r="U269" s="1"/>
      <c r="V269" s="1"/>
      <c r="W269" s="1"/>
      <c r="X269" s="1"/>
      <c r="Y269" s="1"/>
      <c r="Z269" s="1"/>
    </row>
    <row r="270" ht="27.0" customHeight="1">
      <c r="A270" s="1"/>
      <c r="B270" s="1"/>
      <c r="C270" s="1"/>
      <c r="D270" s="1"/>
      <c r="E270" s="1"/>
      <c r="F270" s="1"/>
      <c r="G270" s="1"/>
      <c r="H270" s="1"/>
      <c r="I270" s="1"/>
      <c r="J270" s="1"/>
      <c r="K270" s="1"/>
      <c r="L270" s="1"/>
      <c r="M270" s="1"/>
      <c r="N270" s="1"/>
      <c r="O270" s="13"/>
      <c r="P270" s="1"/>
      <c r="Q270" s="1"/>
      <c r="R270" s="1"/>
      <c r="S270" s="1"/>
      <c r="T270" s="1"/>
      <c r="U270" s="1"/>
      <c r="V270" s="1"/>
      <c r="W270" s="1"/>
      <c r="X270" s="1"/>
      <c r="Y270" s="1"/>
      <c r="Z270" s="1"/>
    </row>
    <row r="271" ht="27.0" customHeight="1">
      <c r="A271" s="1"/>
      <c r="B271" s="1"/>
      <c r="C271" s="1"/>
      <c r="D271" s="1"/>
      <c r="E271" s="1"/>
      <c r="F271" s="1"/>
      <c r="G271" s="1"/>
      <c r="H271" s="1"/>
      <c r="I271" s="1"/>
      <c r="J271" s="1"/>
      <c r="K271" s="1"/>
      <c r="L271" s="1"/>
      <c r="M271" s="1"/>
      <c r="N271" s="1"/>
      <c r="O271" s="13"/>
      <c r="P271" s="1"/>
      <c r="Q271" s="1"/>
      <c r="R271" s="1"/>
      <c r="S271" s="1"/>
      <c r="T271" s="1"/>
      <c r="U271" s="1"/>
      <c r="V271" s="1"/>
      <c r="W271" s="1"/>
      <c r="X271" s="1"/>
      <c r="Y271" s="1"/>
      <c r="Z271" s="1"/>
    </row>
    <row r="272" ht="27.0" customHeight="1">
      <c r="A272" s="1"/>
      <c r="B272" s="1"/>
      <c r="C272" s="1"/>
      <c r="D272" s="1"/>
      <c r="E272" s="1"/>
      <c r="F272" s="1"/>
      <c r="G272" s="1"/>
      <c r="H272" s="1"/>
      <c r="I272" s="1"/>
      <c r="J272" s="1"/>
      <c r="K272" s="1"/>
      <c r="L272" s="1"/>
      <c r="M272" s="1"/>
      <c r="N272" s="1"/>
      <c r="O272" s="13"/>
      <c r="P272" s="1"/>
      <c r="Q272" s="1"/>
      <c r="R272" s="1"/>
      <c r="S272" s="1"/>
      <c r="T272" s="1"/>
      <c r="U272" s="1"/>
      <c r="V272" s="1"/>
      <c r="W272" s="1"/>
      <c r="X272" s="1"/>
      <c r="Y272" s="1"/>
      <c r="Z272" s="1"/>
    </row>
    <row r="273" ht="27.0" customHeight="1">
      <c r="A273" s="1"/>
      <c r="B273" s="1"/>
      <c r="C273" s="1"/>
      <c r="D273" s="1"/>
      <c r="E273" s="1"/>
      <c r="F273" s="1"/>
      <c r="G273" s="1"/>
      <c r="H273" s="1"/>
      <c r="I273" s="1"/>
      <c r="J273" s="1"/>
      <c r="K273" s="1"/>
      <c r="L273" s="1"/>
      <c r="M273" s="1"/>
      <c r="N273" s="1"/>
      <c r="O273" s="13"/>
      <c r="P273" s="1"/>
      <c r="Q273" s="1"/>
      <c r="R273" s="1"/>
      <c r="S273" s="1"/>
      <c r="T273" s="1"/>
      <c r="U273" s="1"/>
      <c r="V273" s="1"/>
      <c r="W273" s="1"/>
      <c r="X273" s="1"/>
      <c r="Y273" s="1"/>
      <c r="Z273" s="1"/>
    </row>
    <row r="274" ht="27.0" customHeight="1">
      <c r="A274" s="1"/>
      <c r="B274" s="1"/>
      <c r="C274" s="1"/>
      <c r="D274" s="1"/>
      <c r="E274" s="1"/>
      <c r="F274" s="1"/>
      <c r="G274" s="1"/>
      <c r="H274" s="1"/>
      <c r="I274" s="1"/>
      <c r="J274" s="1"/>
      <c r="K274" s="1"/>
      <c r="L274" s="1"/>
      <c r="M274" s="1"/>
      <c r="N274" s="1"/>
      <c r="O274" s="13"/>
      <c r="P274" s="1"/>
      <c r="Q274" s="1"/>
      <c r="R274" s="1"/>
      <c r="S274" s="1"/>
      <c r="T274" s="1"/>
      <c r="U274" s="1"/>
      <c r="V274" s="1"/>
      <c r="W274" s="1"/>
      <c r="X274" s="1"/>
      <c r="Y274" s="1"/>
      <c r="Z274" s="1"/>
    </row>
    <row r="275" ht="27.0" customHeight="1">
      <c r="A275" s="1"/>
      <c r="B275" s="1"/>
      <c r="C275" s="1"/>
      <c r="D275" s="1"/>
      <c r="E275" s="1"/>
      <c r="F275" s="1"/>
      <c r="G275" s="1"/>
      <c r="H275" s="1"/>
      <c r="I275" s="1"/>
      <c r="J275" s="1"/>
      <c r="K275" s="1"/>
      <c r="L275" s="1"/>
      <c r="M275" s="1"/>
      <c r="N275" s="1"/>
      <c r="O275" s="13"/>
      <c r="P275" s="1"/>
      <c r="Q275" s="1"/>
      <c r="R275" s="1"/>
      <c r="S275" s="1"/>
      <c r="T275" s="1"/>
      <c r="U275" s="1"/>
      <c r="V275" s="1"/>
      <c r="W275" s="1"/>
      <c r="X275" s="1"/>
      <c r="Y275" s="1"/>
      <c r="Z275" s="1"/>
    </row>
    <row r="276" ht="27.0" customHeight="1">
      <c r="A276" s="1"/>
      <c r="B276" s="1"/>
      <c r="C276" s="1"/>
      <c r="D276" s="1"/>
      <c r="E276" s="1"/>
      <c r="F276" s="1"/>
      <c r="G276" s="1"/>
      <c r="H276" s="1"/>
      <c r="I276" s="1"/>
      <c r="J276" s="1"/>
      <c r="K276" s="1"/>
      <c r="L276" s="1"/>
      <c r="M276" s="1"/>
      <c r="N276" s="1"/>
      <c r="O276" s="13"/>
      <c r="P276" s="1"/>
      <c r="Q276" s="1"/>
      <c r="R276" s="1"/>
      <c r="S276" s="1"/>
      <c r="T276" s="1"/>
      <c r="U276" s="1"/>
      <c r="V276" s="1"/>
      <c r="W276" s="1"/>
      <c r="X276" s="1"/>
      <c r="Y276" s="1"/>
      <c r="Z276" s="1"/>
    </row>
    <row r="277" ht="27.0" customHeight="1">
      <c r="A277" s="1"/>
      <c r="B277" s="1"/>
      <c r="C277" s="1"/>
      <c r="D277" s="1"/>
      <c r="E277" s="1"/>
      <c r="F277" s="1"/>
      <c r="G277" s="1"/>
      <c r="H277" s="1"/>
      <c r="I277" s="1"/>
      <c r="J277" s="1"/>
      <c r="K277" s="1"/>
      <c r="L277" s="1"/>
      <c r="M277" s="1"/>
      <c r="N277" s="1"/>
      <c r="O277" s="13"/>
      <c r="P277" s="1"/>
      <c r="Q277" s="1"/>
      <c r="R277" s="1"/>
      <c r="S277" s="1"/>
      <c r="T277" s="1"/>
      <c r="U277" s="1"/>
      <c r="V277" s="1"/>
      <c r="W277" s="1"/>
      <c r="X277" s="1"/>
      <c r="Y277" s="1"/>
      <c r="Z277" s="1"/>
    </row>
    <row r="278" ht="27.0" customHeight="1">
      <c r="A278" s="1"/>
      <c r="B278" s="1"/>
      <c r="C278" s="1"/>
      <c r="D278" s="1"/>
      <c r="E278" s="1"/>
      <c r="F278" s="1"/>
      <c r="G278" s="1"/>
      <c r="H278" s="1"/>
      <c r="I278" s="1"/>
      <c r="J278" s="1"/>
      <c r="K278" s="1"/>
      <c r="L278" s="1"/>
      <c r="M278" s="1"/>
      <c r="N278" s="1"/>
      <c r="O278" s="13"/>
      <c r="P278" s="1"/>
      <c r="Q278" s="1"/>
      <c r="R278" s="1"/>
      <c r="S278" s="1"/>
      <c r="T278" s="1"/>
      <c r="U278" s="1"/>
      <c r="V278" s="1"/>
      <c r="W278" s="1"/>
      <c r="X278" s="1"/>
      <c r="Y278" s="1"/>
      <c r="Z278" s="1"/>
    </row>
    <row r="279" ht="27.0" customHeight="1">
      <c r="A279" s="1"/>
      <c r="B279" s="1"/>
      <c r="C279" s="1"/>
      <c r="D279" s="1"/>
      <c r="E279" s="1"/>
      <c r="F279" s="1"/>
      <c r="G279" s="1"/>
      <c r="H279" s="1"/>
      <c r="I279" s="1"/>
      <c r="J279" s="1"/>
      <c r="K279" s="1"/>
      <c r="L279" s="1"/>
      <c r="M279" s="1"/>
      <c r="N279" s="1"/>
      <c r="O279" s="13"/>
      <c r="P279" s="1"/>
      <c r="Q279" s="1"/>
      <c r="R279" s="1"/>
      <c r="S279" s="1"/>
      <c r="T279" s="1"/>
      <c r="U279" s="1"/>
      <c r="V279" s="1"/>
      <c r="W279" s="1"/>
      <c r="X279" s="1"/>
      <c r="Y279" s="1"/>
      <c r="Z279" s="1"/>
    </row>
    <row r="280" ht="27.0" customHeight="1">
      <c r="A280" s="1"/>
      <c r="B280" s="1"/>
      <c r="C280" s="1"/>
      <c r="D280" s="1"/>
      <c r="E280" s="1"/>
      <c r="F280" s="1"/>
      <c r="G280" s="1"/>
      <c r="H280" s="1"/>
      <c r="I280" s="1"/>
      <c r="J280" s="1"/>
      <c r="K280" s="1"/>
      <c r="L280" s="1"/>
      <c r="M280" s="1"/>
      <c r="N280" s="1"/>
      <c r="O280" s="13"/>
      <c r="P280" s="1"/>
      <c r="Q280" s="1"/>
      <c r="R280" s="1"/>
      <c r="S280" s="1"/>
      <c r="T280" s="1"/>
      <c r="U280" s="1"/>
      <c r="V280" s="1"/>
      <c r="W280" s="1"/>
      <c r="X280" s="1"/>
      <c r="Y280" s="1"/>
      <c r="Z280" s="1"/>
    </row>
    <row r="281" ht="27.0" customHeight="1">
      <c r="A281" s="1"/>
      <c r="B281" s="1"/>
      <c r="C281" s="1"/>
      <c r="D281" s="1"/>
      <c r="E281" s="1"/>
      <c r="F281" s="1"/>
      <c r="G281" s="1"/>
      <c r="H281" s="1"/>
      <c r="I281" s="1"/>
      <c r="J281" s="1"/>
      <c r="K281" s="1"/>
      <c r="L281" s="1"/>
      <c r="M281" s="1"/>
      <c r="N281" s="1"/>
      <c r="O281" s="13"/>
      <c r="P281" s="1"/>
      <c r="Q281" s="1"/>
      <c r="R281" s="1"/>
      <c r="S281" s="1"/>
      <c r="T281" s="1"/>
      <c r="U281" s="1"/>
      <c r="V281" s="1"/>
      <c r="W281" s="1"/>
      <c r="X281" s="1"/>
      <c r="Y281" s="1"/>
      <c r="Z281" s="1"/>
    </row>
    <row r="282" ht="27.0" customHeight="1">
      <c r="A282" s="1"/>
      <c r="B282" s="1"/>
      <c r="C282" s="1"/>
      <c r="D282" s="1"/>
      <c r="E282" s="1"/>
      <c r="F282" s="1"/>
      <c r="G282" s="1"/>
      <c r="H282" s="1"/>
      <c r="I282" s="1"/>
      <c r="J282" s="1"/>
      <c r="K282" s="1"/>
      <c r="L282" s="1"/>
      <c r="M282" s="1"/>
      <c r="N282" s="1"/>
      <c r="O282" s="13"/>
      <c r="P282" s="1"/>
      <c r="Q282" s="1"/>
      <c r="R282" s="1"/>
      <c r="S282" s="1"/>
      <c r="T282" s="1"/>
      <c r="U282" s="1"/>
      <c r="V282" s="1"/>
      <c r="W282" s="1"/>
      <c r="X282" s="1"/>
      <c r="Y282" s="1"/>
      <c r="Z282" s="1"/>
    </row>
    <row r="283" ht="27.0" customHeight="1">
      <c r="A283" s="1"/>
      <c r="B283" s="1"/>
      <c r="C283" s="1"/>
      <c r="D283" s="1"/>
      <c r="E283" s="1"/>
      <c r="F283" s="1"/>
      <c r="G283" s="1"/>
      <c r="H283" s="1"/>
      <c r="I283" s="1"/>
      <c r="J283" s="1"/>
      <c r="K283" s="1"/>
      <c r="L283" s="1"/>
      <c r="M283" s="1"/>
      <c r="N283" s="1"/>
      <c r="O283" s="13"/>
      <c r="P283" s="1"/>
      <c r="Q283" s="1"/>
      <c r="R283" s="1"/>
      <c r="S283" s="1"/>
      <c r="T283" s="1"/>
      <c r="U283" s="1"/>
      <c r="V283" s="1"/>
      <c r="W283" s="1"/>
      <c r="X283" s="1"/>
      <c r="Y283" s="1"/>
      <c r="Z283" s="1"/>
    </row>
    <row r="284" ht="27.0" customHeight="1">
      <c r="A284" s="1"/>
      <c r="B284" s="1"/>
      <c r="C284" s="1"/>
      <c r="D284" s="1"/>
      <c r="E284" s="1"/>
      <c r="F284" s="1"/>
      <c r="G284" s="1"/>
      <c r="H284" s="1"/>
      <c r="I284" s="1"/>
      <c r="J284" s="1"/>
      <c r="K284" s="1"/>
      <c r="L284" s="1"/>
      <c r="M284" s="1"/>
      <c r="N284" s="1"/>
      <c r="O284" s="13"/>
      <c r="P284" s="1"/>
      <c r="Q284" s="1"/>
      <c r="R284" s="1"/>
      <c r="S284" s="1"/>
      <c r="T284" s="1"/>
      <c r="U284" s="1"/>
      <c r="V284" s="1"/>
      <c r="W284" s="1"/>
      <c r="X284" s="1"/>
      <c r="Y284" s="1"/>
      <c r="Z284" s="1"/>
    </row>
    <row r="285" ht="27.0" customHeight="1">
      <c r="A285" s="1"/>
      <c r="B285" s="1"/>
      <c r="C285" s="1"/>
      <c r="D285" s="1"/>
      <c r="E285" s="1"/>
      <c r="F285" s="1"/>
      <c r="G285" s="1"/>
      <c r="H285" s="1"/>
      <c r="I285" s="1"/>
      <c r="J285" s="1"/>
      <c r="K285" s="1"/>
      <c r="L285" s="1"/>
      <c r="M285" s="1"/>
      <c r="N285" s="1"/>
      <c r="O285" s="13"/>
      <c r="P285" s="1"/>
      <c r="Q285" s="1"/>
      <c r="R285" s="1"/>
      <c r="S285" s="1"/>
      <c r="T285" s="1"/>
      <c r="U285" s="1"/>
      <c r="V285" s="1"/>
      <c r="W285" s="1"/>
      <c r="X285" s="1"/>
      <c r="Y285" s="1"/>
      <c r="Z285" s="1"/>
    </row>
    <row r="286" ht="27.0" customHeight="1">
      <c r="A286" s="1"/>
      <c r="B286" s="1"/>
      <c r="C286" s="1"/>
      <c r="D286" s="1"/>
      <c r="E286" s="1"/>
      <c r="F286" s="1"/>
      <c r="G286" s="1"/>
      <c r="H286" s="1"/>
      <c r="I286" s="1"/>
      <c r="J286" s="1"/>
      <c r="K286" s="1"/>
      <c r="L286" s="1"/>
      <c r="M286" s="1"/>
      <c r="N286" s="1"/>
      <c r="O286" s="13"/>
      <c r="P286" s="1"/>
      <c r="Q286" s="1"/>
      <c r="R286" s="1"/>
      <c r="S286" s="1"/>
      <c r="T286" s="1"/>
      <c r="U286" s="1"/>
      <c r="V286" s="1"/>
      <c r="W286" s="1"/>
      <c r="X286" s="1"/>
      <c r="Y286" s="1"/>
      <c r="Z286" s="1"/>
    </row>
    <row r="287" ht="27.0" customHeight="1">
      <c r="A287" s="1"/>
      <c r="B287" s="1"/>
      <c r="C287" s="1"/>
      <c r="D287" s="1"/>
      <c r="E287" s="1"/>
      <c r="F287" s="1"/>
      <c r="G287" s="1"/>
      <c r="H287" s="1"/>
      <c r="I287" s="1"/>
      <c r="J287" s="1"/>
      <c r="K287" s="1"/>
      <c r="L287" s="1"/>
      <c r="M287" s="1"/>
      <c r="N287" s="1"/>
      <c r="O287" s="13"/>
      <c r="P287" s="1"/>
      <c r="Q287" s="1"/>
      <c r="R287" s="1"/>
      <c r="S287" s="1"/>
      <c r="T287" s="1"/>
      <c r="U287" s="1"/>
      <c r="V287" s="1"/>
      <c r="W287" s="1"/>
      <c r="X287" s="1"/>
      <c r="Y287" s="1"/>
      <c r="Z287" s="1"/>
    </row>
    <row r="288" ht="27.0" customHeight="1">
      <c r="A288" s="1"/>
      <c r="B288" s="1"/>
      <c r="C288" s="1"/>
      <c r="D288" s="1"/>
      <c r="E288" s="1"/>
      <c r="F288" s="1"/>
      <c r="G288" s="1"/>
      <c r="H288" s="1"/>
      <c r="I288" s="1"/>
      <c r="J288" s="1"/>
      <c r="K288" s="1"/>
      <c r="L288" s="1"/>
      <c r="M288" s="1"/>
      <c r="N288" s="1"/>
      <c r="O288" s="13"/>
      <c r="P288" s="1"/>
      <c r="Q288" s="1"/>
      <c r="R288" s="1"/>
      <c r="S288" s="1"/>
      <c r="T288" s="1"/>
      <c r="U288" s="1"/>
      <c r="V288" s="1"/>
      <c r="W288" s="1"/>
      <c r="X288" s="1"/>
      <c r="Y288" s="1"/>
      <c r="Z288" s="1"/>
    </row>
    <row r="289" ht="27.0" customHeight="1">
      <c r="A289" s="1"/>
      <c r="B289" s="1"/>
      <c r="C289" s="1"/>
      <c r="D289" s="1"/>
      <c r="E289" s="1"/>
      <c r="F289" s="1"/>
      <c r="G289" s="1"/>
      <c r="H289" s="1"/>
      <c r="I289" s="1"/>
      <c r="J289" s="1"/>
      <c r="K289" s="1"/>
      <c r="L289" s="1"/>
      <c r="M289" s="1"/>
      <c r="N289" s="1"/>
      <c r="O289" s="13"/>
      <c r="P289" s="1"/>
      <c r="Q289" s="1"/>
      <c r="R289" s="1"/>
      <c r="S289" s="1"/>
      <c r="T289" s="1"/>
      <c r="U289" s="1"/>
      <c r="V289" s="1"/>
      <c r="W289" s="1"/>
      <c r="X289" s="1"/>
      <c r="Y289" s="1"/>
      <c r="Z289" s="1"/>
    </row>
    <row r="290" ht="27.0" customHeight="1">
      <c r="A290" s="1"/>
      <c r="B290" s="1"/>
      <c r="C290" s="1"/>
      <c r="D290" s="1"/>
      <c r="E290" s="1"/>
      <c r="F290" s="1"/>
      <c r="G290" s="1"/>
      <c r="H290" s="1"/>
      <c r="I290" s="1"/>
      <c r="J290" s="1"/>
      <c r="K290" s="1"/>
      <c r="L290" s="1"/>
      <c r="M290" s="1"/>
      <c r="N290" s="1"/>
      <c r="O290" s="13"/>
      <c r="P290" s="1"/>
      <c r="Q290" s="1"/>
      <c r="R290" s="1"/>
      <c r="S290" s="1"/>
      <c r="T290" s="1"/>
      <c r="U290" s="1"/>
      <c r="V290" s="1"/>
      <c r="W290" s="1"/>
      <c r="X290" s="1"/>
      <c r="Y290" s="1"/>
      <c r="Z290" s="1"/>
    </row>
    <row r="291" ht="27.0" customHeight="1">
      <c r="A291" s="1"/>
      <c r="B291" s="1"/>
      <c r="C291" s="1"/>
      <c r="D291" s="1"/>
      <c r="E291" s="1"/>
      <c r="F291" s="1"/>
      <c r="G291" s="1"/>
      <c r="H291" s="1"/>
      <c r="I291" s="1"/>
      <c r="J291" s="1"/>
      <c r="K291" s="1"/>
      <c r="L291" s="1"/>
      <c r="M291" s="1"/>
      <c r="N291" s="1"/>
      <c r="O291" s="13"/>
      <c r="P291" s="1"/>
      <c r="Q291" s="1"/>
      <c r="R291" s="1"/>
      <c r="S291" s="1"/>
      <c r="T291" s="1"/>
      <c r="U291" s="1"/>
      <c r="V291" s="1"/>
      <c r="W291" s="1"/>
      <c r="X291" s="1"/>
      <c r="Y291" s="1"/>
      <c r="Z291" s="1"/>
    </row>
    <row r="292" ht="27.0" customHeight="1">
      <c r="A292" s="1"/>
      <c r="B292" s="1"/>
      <c r="C292" s="1"/>
      <c r="D292" s="1"/>
      <c r="E292" s="1"/>
      <c r="F292" s="1"/>
      <c r="G292" s="1"/>
      <c r="H292" s="1"/>
      <c r="I292" s="1"/>
      <c r="J292" s="1"/>
      <c r="K292" s="1"/>
      <c r="L292" s="1"/>
      <c r="M292" s="1"/>
      <c r="N292" s="1"/>
      <c r="O292" s="13"/>
      <c r="P292" s="1"/>
      <c r="Q292" s="1"/>
      <c r="R292" s="1"/>
      <c r="S292" s="1"/>
      <c r="T292" s="1"/>
      <c r="U292" s="1"/>
      <c r="V292" s="1"/>
      <c r="W292" s="1"/>
      <c r="X292" s="1"/>
      <c r="Y292" s="1"/>
      <c r="Z292" s="1"/>
    </row>
    <row r="293" ht="27.0" customHeight="1">
      <c r="A293" s="1"/>
      <c r="B293" s="1"/>
      <c r="C293" s="1"/>
      <c r="D293" s="1"/>
      <c r="E293" s="1"/>
      <c r="F293" s="1"/>
      <c r="G293" s="1"/>
      <c r="H293" s="1"/>
      <c r="I293" s="1"/>
      <c r="J293" s="1"/>
      <c r="K293" s="1"/>
      <c r="L293" s="1"/>
      <c r="M293" s="1"/>
      <c r="N293" s="1"/>
      <c r="O293" s="13"/>
      <c r="P293" s="1"/>
      <c r="Q293" s="1"/>
      <c r="R293" s="1"/>
      <c r="S293" s="1"/>
      <c r="T293" s="1"/>
      <c r="U293" s="1"/>
      <c r="V293" s="1"/>
      <c r="W293" s="1"/>
      <c r="X293" s="1"/>
      <c r="Y293" s="1"/>
      <c r="Z293" s="1"/>
    </row>
    <row r="294" ht="27.0" customHeight="1">
      <c r="A294" s="1"/>
      <c r="B294" s="1"/>
      <c r="C294" s="1"/>
      <c r="D294" s="1"/>
      <c r="E294" s="1"/>
      <c r="F294" s="1"/>
      <c r="G294" s="1"/>
      <c r="H294" s="1"/>
      <c r="I294" s="1"/>
      <c r="J294" s="1"/>
      <c r="K294" s="1"/>
      <c r="L294" s="1"/>
      <c r="M294" s="1"/>
      <c r="N294" s="1"/>
      <c r="O294" s="13"/>
      <c r="P294" s="1"/>
      <c r="Q294" s="1"/>
      <c r="R294" s="1"/>
      <c r="S294" s="1"/>
      <c r="T294" s="1"/>
      <c r="U294" s="1"/>
      <c r="V294" s="1"/>
      <c r="W294" s="1"/>
      <c r="X294" s="1"/>
      <c r="Y294" s="1"/>
      <c r="Z294" s="1"/>
    </row>
    <row r="295" ht="27.0" customHeight="1">
      <c r="A295" s="1"/>
      <c r="B295" s="1"/>
      <c r="C295" s="1"/>
      <c r="D295" s="1"/>
      <c r="E295" s="1"/>
      <c r="F295" s="1"/>
      <c r="G295" s="1"/>
      <c r="H295" s="1"/>
      <c r="I295" s="1"/>
      <c r="J295" s="1"/>
      <c r="K295" s="1"/>
      <c r="L295" s="1"/>
      <c r="M295" s="1"/>
      <c r="N295" s="1"/>
      <c r="O295" s="13"/>
      <c r="P295" s="1"/>
      <c r="Q295" s="1"/>
      <c r="R295" s="1"/>
      <c r="S295" s="1"/>
      <c r="T295" s="1"/>
      <c r="U295" s="1"/>
      <c r="V295" s="1"/>
      <c r="W295" s="1"/>
      <c r="X295" s="1"/>
      <c r="Y295" s="1"/>
      <c r="Z295" s="1"/>
    </row>
    <row r="296" ht="27.0" customHeight="1">
      <c r="A296" s="1"/>
      <c r="B296" s="1"/>
      <c r="C296" s="1"/>
      <c r="D296" s="1"/>
      <c r="E296" s="1"/>
      <c r="F296" s="1"/>
      <c r="G296" s="1"/>
      <c r="H296" s="1"/>
      <c r="I296" s="1"/>
      <c r="J296" s="1"/>
      <c r="K296" s="1"/>
      <c r="L296" s="1"/>
      <c r="M296" s="1"/>
      <c r="N296" s="1"/>
      <c r="O296" s="13"/>
      <c r="P296" s="1"/>
      <c r="Q296" s="1"/>
      <c r="R296" s="1"/>
      <c r="S296" s="1"/>
      <c r="T296" s="1"/>
      <c r="U296" s="1"/>
      <c r="V296" s="1"/>
      <c r="W296" s="1"/>
      <c r="X296" s="1"/>
      <c r="Y296" s="1"/>
      <c r="Z296" s="1"/>
    </row>
    <row r="297" ht="27.0" customHeight="1">
      <c r="A297" s="1"/>
      <c r="B297" s="1"/>
      <c r="C297" s="1"/>
      <c r="D297" s="1"/>
      <c r="E297" s="1"/>
      <c r="F297" s="1"/>
      <c r="G297" s="1"/>
      <c r="H297" s="1"/>
      <c r="I297" s="1"/>
      <c r="J297" s="1"/>
      <c r="K297" s="1"/>
      <c r="L297" s="1"/>
      <c r="M297" s="1"/>
      <c r="N297" s="1"/>
      <c r="O297" s="13"/>
      <c r="P297" s="1"/>
      <c r="Q297" s="1"/>
      <c r="R297" s="1"/>
      <c r="S297" s="1"/>
      <c r="T297" s="1"/>
      <c r="U297" s="1"/>
      <c r="V297" s="1"/>
      <c r="W297" s="1"/>
      <c r="X297" s="1"/>
      <c r="Y297" s="1"/>
      <c r="Z297" s="1"/>
    </row>
    <row r="298" ht="27.0" customHeight="1">
      <c r="A298" s="1"/>
      <c r="B298" s="1"/>
      <c r="C298" s="1"/>
      <c r="D298" s="1"/>
      <c r="E298" s="1"/>
      <c r="F298" s="1"/>
      <c r="G298" s="1"/>
      <c r="H298" s="1"/>
      <c r="I298" s="1"/>
      <c r="J298" s="1"/>
      <c r="K298" s="1"/>
      <c r="L298" s="1"/>
      <c r="M298" s="1"/>
      <c r="N298" s="1"/>
      <c r="O298" s="13"/>
      <c r="P298" s="1"/>
      <c r="Q298" s="1"/>
      <c r="R298" s="1"/>
      <c r="S298" s="1"/>
      <c r="T298" s="1"/>
      <c r="U298" s="1"/>
      <c r="V298" s="1"/>
      <c r="W298" s="1"/>
      <c r="X298" s="1"/>
      <c r="Y298" s="1"/>
      <c r="Z298" s="1"/>
    </row>
    <row r="299" ht="27.0" customHeight="1">
      <c r="A299" s="1"/>
      <c r="B299" s="1"/>
      <c r="C299" s="1"/>
      <c r="D299" s="1"/>
      <c r="E299" s="1"/>
      <c r="F299" s="1"/>
      <c r="G299" s="1"/>
      <c r="H299" s="1"/>
      <c r="I299" s="1"/>
      <c r="J299" s="1"/>
      <c r="K299" s="1"/>
      <c r="L299" s="1"/>
      <c r="M299" s="1"/>
      <c r="N299" s="1"/>
      <c r="O299" s="13"/>
      <c r="P299" s="1"/>
      <c r="Q299" s="1"/>
      <c r="R299" s="1"/>
      <c r="S299" s="1"/>
      <c r="T299" s="1"/>
      <c r="U299" s="1"/>
      <c r="V299" s="1"/>
      <c r="W299" s="1"/>
      <c r="X299" s="1"/>
      <c r="Y299" s="1"/>
      <c r="Z299" s="1"/>
    </row>
    <row r="300" ht="27.0" customHeight="1">
      <c r="A300" s="1"/>
      <c r="B300" s="1"/>
      <c r="C300" s="1"/>
      <c r="D300" s="1"/>
      <c r="E300" s="1"/>
      <c r="F300" s="1"/>
      <c r="G300" s="1"/>
      <c r="H300" s="1"/>
      <c r="I300" s="1"/>
      <c r="J300" s="1"/>
      <c r="K300" s="1"/>
      <c r="L300" s="1"/>
      <c r="M300" s="1"/>
      <c r="N300" s="1"/>
      <c r="O300" s="13"/>
      <c r="P300" s="1"/>
      <c r="Q300" s="1"/>
      <c r="R300" s="1"/>
      <c r="S300" s="1"/>
      <c r="T300" s="1"/>
      <c r="U300" s="1"/>
      <c r="V300" s="1"/>
      <c r="W300" s="1"/>
      <c r="X300" s="1"/>
      <c r="Y300" s="1"/>
      <c r="Z300" s="1"/>
    </row>
    <row r="301" ht="27.0" customHeight="1">
      <c r="A301" s="1"/>
      <c r="B301" s="1"/>
      <c r="C301" s="1"/>
      <c r="D301" s="1"/>
      <c r="E301" s="1"/>
      <c r="F301" s="1"/>
      <c r="G301" s="1"/>
      <c r="H301" s="1"/>
      <c r="I301" s="1"/>
      <c r="J301" s="1"/>
      <c r="K301" s="1"/>
      <c r="L301" s="1"/>
      <c r="M301" s="1"/>
      <c r="N301" s="1"/>
      <c r="O301" s="13"/>
      <c r="P301" s="1"/>
      <c r="Q301" s="1"/>
      <c r="R301" s="1"/>
      <c r="S301" s="1"/>
      <c r="T301" s="1"/>
      <c r="U301" s="1"/>
      <c r="V301" s="1"/>
      <c r="W301" s="1"/>
      <c r="X301" s="1"/>
      <c r="Y301" s="1"/>
      <c r="Z301" s="1"/>
    </row>
    <row r="302" ht="27.0" customHeight="1">
      <c r="A302" s="1"/>
      <c r="B302" s="1"/>
      <c r="C302" s="1"/>
      <c r="D302" s="1"/>
      <c r="E302" s="1"/>
      <c r="F302" s="1"/>
      <c r="G302" s="1"/>
      <c r="H302" s="1"/>
      <c r="I302" s="1"/>
      <c r="J302" s="1"/>
      <c r="K302" s="1"/>
      <c r="L302" s="1"/>
      <c r="M302" s="1"/>
      <c r="N302" s="1"/>
      <c r="O302" s="13"/>
      <c r="P302" s="1"/>
      <c r="Q302" s="1"/>
      <c r="R302" s="1"/>
      <c r="S302" s="1"/>
      <c r="T302" s="1"/>
      <c r="U302" s="1"/>
      <c r="V302" s="1"/>
      <c r="W302" s="1"/>
      <c r="X302" s="1"/>
      <c r="Y302" s="1"/>
      <c r="Z302" s="1"/>
    </row>
    <row r="303" ht="27.0" customHeight="1">
      <c r="A303" s="1"/>
      <c r="B303" s="1"/>
      <c r="C303" s="1"/>
      <c r="D303" s="1"/>
      <c r="E303" s="1"/>
      <c r="F303" s="1"/>
      <c r="G303" s="1"/>
      <c r="H303" s="1"/>
      <c r="I303" s="1"/>
      <c r="J303" s="1"/>
      <c r="K303" s="1"/>
      <c r="L303" s="1"/>
      <c r="M303" s="1"/>
      <c r="N303" s="1"/>
      <c r="O303" s="13"/>
      <c r="P303" s="1"/>
      <c r="Q303" s="1"/>
      <c r="R303" s="1"/>
      <c r="S303" s="1"/>
      <c r="T303" s="1"/>
      <c r="U303" s="1"/>
      <c r="V303" s="1"/>
      <c r="W303" s="1"/>
      <c r="X303" s="1"/>
      <c r="Y303" s="1"/>
      <c r="Z303" s="1"/>
    </row>
    <row r="304" ht="27.0" customHeight="1">
      <c r="A304" s="1"/>
      <c r="B304" s="1"/>
      <c r="C304" s="1"/>
      <c r="D304" s="1"/>
      <c r="E304" s="1"/>
      <c r="F304" s="1"/>
      <c r="G304" s="1"/>
      <c r="H304" s="1"/>
      <c r="I304" s="1"/>
      <c r="J304" s="1"/>
      <c r="K304" s="1"/>
      <c r="L304" s="1"/>
      <c r="M304" s="1"/>
      <c r="N304" s="1"/>
      <c r="O304" s="13"/>
      <c r="P304" s="1"/>
      <c r="Q304" s="1"/>
      <c r="R304" s="1"/>
      <c r="S304" s="1"/>
      <c r="T304" s="1"/>
      <c r="U304" s="1"/>
      <c r="V304" s="1"/>
      <c r="W304" s="1"/>
      <c r="X304" s="1"/>
      <c r="Y304" s="1"/>
      <c r="Z304" s="1"/>
    </row>
    <row r="305" ht="27.0" customHeight="1">
      <c r="A305" s="1"/>
      <c r="B305" s="1"/>
      <c r="C305" s="1"/>
      <c r="D305" s="1"/>
      <c r="E305" s="1"/>
      <c r="F305" s="1"/>
      <c r="G305" s="1"/>
      <c r="H305" s="1"/>
      <c r="I305" s="1"/>
      <c r="J305" s="1"/>
      <c r="K305" s="1"/>
      <c r="L305" s="1"/>
      <c r="M305" s="1"/>
      <c r="N305" s="1"/>
      <c r="O305" s="13"/>
      <c r="P305" s="1"/>
      <c r="Q305" s="1"/>
      <c r="R305" s="1"/>
      <c r="S305" s="1"/>
      <c r="T305" s="1"/>
      <c r="U305" s="1"/>
      <c r="V305" s="1"/>
      <c r="W305" s="1"/>
      <c r="X305" s="1"/>
      <c r="Y305" s="1"/>
      <c r="Z305" s="1"/>
    </row>
    <row r="306" ht="27.0" customHeight="1">
      <c r="A306" s="1"/>
      <c r="B306" s="1"/>
      <c r="C306" s="1"/>
      <c r="D306" s="1"/>
      <c r="E306" s="1"/>
      <c r="F306" s="1"/>
      <c r="G306" s="1"/>
      <c r="H306" s="1"/>
      <c r="I306" s="1"/>
      <c r="J306" s="1"/>
      <c r="K306" s="1"/>
      <c r="L306" s="1"/>
      <c r="M306" s="1"/>
      <c r="N306" s="1"/>
      <c r="O306" s="13"/>
      <c r="P306" s="1"/>
      <c r="Q306" s="1"/>
      <c r="R306" s="1"/>
      <c r="S306" s="1"/>
      <c r="T306" s="1"/>
      <c r="U306" s="1"/>
      <c r="V306" s="1"/>
      <c r="W306" s="1"/>
      <c r="X306" s="1"/>
      <c r="Y306" s="1"/>
      <c r="Z306" s="1"/>
    </row>
    <row r="307" ht="27.0" customHeight="1">
      <c r="A307" s="1"/>
      <c r="B307" s="1"/>
      <c r="C307" s="1"/>
      <c r="D307" s="1"/>
      <c r="E307" s="1"/>
      <c r="F307" s="1"/>
      <c r="G307" s="1"/>
      <c r="H307" s="1"/>
      <c r="I307" s="1"/>
      <c r="J307" s="1"/>
      <c r="K307" s="1"/>
      <c r="L307" s="1"/>
      <c r="M307" s="1"/>
      <c r="N307" s="1"/>
      <c r="O307" s="13"/>
      <c r="P307" s="1"/>
      <c r="Q307" s="1"/>
      <c r="R307" s="1"/>
      <c r="S307" s="1"/>
      <c r="T307" s="1"/>
      <c r="U307" s="1"/>
      <c r="V307" s="1"/>
      <c r="W307" s="1"/>
      <c r="X307" s="1"/>
      <c r="Y307" s="1"/>
      <c r="Z307" s="1"/>
    </row>
    <row r="308" ht="27.0" customHeight="1">
      <c r="A308" s="1"/>
      <c r="B308" s="1"/>
      <c r="C308" s="1"/>
      <c r="D308" s="1"/>
      <c r="E308" s="1"/>
      <c r="F308" s="1"/>
      <c r="G308" s="1"/>
      <c r="H308" s="1"/>
      <c r="I308" s="1"/>
      <c r="J308" s="1"/>
      <c r="K308" s="1"/>
      <c r="L308" s="1"/>
      <c r="M308" s="1"/>
      <c r="N308" s="1"/>
      <c r="O308" s="13"/>
      <c r="P308" s="1"/>
      <c r="Q308" s="1"/>
      <c r="R308" s="1"/>
      <c r="S308" s="1"/>
      <c r="T308" s="1"/>
      <c r="U308" s="1"/>
      <c r="V308" s="1"/>
      <c r="W308" s="1"/>
      <c r="X308" s="1"/>
      <c r="Y308" s="1"/>
      <c r="Z308" s="1"/>
    </row>
    <row r="309" ht="27.0" customHeight="1">
      <c r="A309" s="1"/>
      <c r="B309" s="1"/>
      <c r="C309" s="1"/>
      <c r="D309" s="1"/>
      <c r="E309" s="1"/>
      <c r="F309" s="1"/>
      <c r="G309" s="1"/>
      <c r="H309" s="1"/>
      <c r="I309" s="1"/>
      <c r="J309" s="1"/>
      <c r="K309" s="1"/>
      <c r="L309" s="1"/>
      <c r="M309" s="1"/>
      <c r="N309" s="1"/>
      <c r="O309" s="13"/>
      <c r="P309" s="1"/>
      <c r="Q309" s="1"/>
      <c r="R309" s="1"/>
      <c r="S309" s="1"/>
      <c r="T309" s="1"/>
      <c r="U309" s="1"/>
      <c r="V309" s="1"/>
      <c r="W309" s="1"/>
      <c r="X309" s="1"/>
      <c r="Y309" s="1"/>
      <c r="Z309" s="1"/>
    </row>
    <row r="310" ht="27.0" customHeight="1">
      <c r="A310" s="1"/>
      <c r="B310" s="1"/>
      <c r="C310" s="1"/>
      <c r="D310" s="1"/>
      <c r="E310" s="1"/>
      <c r="F310" s="1"/>
      <c r="G310" s="1"/>
      <c r="H310" s="1"/>
      <c r="I310" s="1"/>
      <c r="J310" s="1"/>
      <c r="K310" s="1"/>
      <c r="L310" s="1"/>
      <c r="M310" s="1"/>
      <c r="N310" s="1"/>
      <c r="O310" s="13"/>
      <c r="P310" s="1"/>
      <c r="Q310" s="1"/>
      <c r="R310" s="1"/>
      <c r="S310" s="1"/>
      <c r="T310" s="1"/>
      <c r="U310" s="1"/>
      <c r="V310" s="1"/>
      <c r="W310" s="1"/>
      <c r="X310" s="1"/>
      <c r="Y310" s="1"/>
      <c r="Z310" s="1"/>
    </row>
    <row r="311" ht="27.0" customHeight="1">
      <c r="A311" s="1"/>
      <c r="B311" s="1"/>
      <c r="C311" s="1"/>
      <c r="D311" s="1"/>
      <c r="E311" s="1"/>
      <c r="F311" s="1"/>
      <c r="G311" s="1"/>
      <c r="H311" s="1"/>
      <c r="I311" s="1"/>
      <c r="J311" s="1"/>
      <c r="K311" s="1"/>
      <c r="L311" s="1"/>
      <c r="M311" s="1"/>
      <c r="N311" s="1"/>
      <c r="O311" s="13"/>
      <c r="P311" s="1"/>
      <c r="Q311" s="1"/>
      <c r="R311" s="1"/>
      <c r="S311" s="1"/>
      <c r="T311" s="1"/>
      <c r="U311" s="1"/>
      <c r="V311" s="1"/>
      <c r="W311" s="1"/>
      <c r="X311" s="1"/>
      <c r="Y311" s="1"/>
      <c r="Z311" s="1"/>
    </row>
    <row r="312" ht="27.0" customHeight="1">
      <c r="A312" s="1"/>
      <c r="B312" s="1"/>
      <c r="C312" s="1"/>
      <c r="D312" s="1"/>
      <c r="E312" s="1"/>
      <c r="F312" s="1"/>
      <c r="G312" s="1"/>
      <c r="H312" s="1"/>
      <c r="I312" s="1"/>
      <c r="J312" s="1"/>
      <c r="K312" s="1"/>
      <c r="L312" s="1"/>
      <c r="M312" s="1"/>
      <c r="N312" s="1"/>
      <c r="O312" s="13"/>
      <c r="P312" s="1"/>
      <c r="Q312" s="1"/>
      <c r="R312" s="1"/>
      <c r="S312" s="1"/>
      <c r="T312" s="1"/>
      <c r="U312" s="1"/>
      <c r="V312" s="1"/>
      <c r="W312" s="1"/>
      <c r="X312" s="1"/>
      <c r="Y312" s="1"/>
      <c r="Z312" s="1"/>
    </row>
    <row r="313" ht="27.0" customHeight="1">
      <c r="A313" s="1"/>
      <c r="B313" s="1"/>
      <c r="C313" s="1"/>
      <c r="D313" s="1"/>
      <c r="E313" s="1"/>
      <c r="F313" s="1"/>
      <c r="G313" s="1"/>
      <c r="H313" s="1"/>
      <c r="I313" s="1"/>
      <c r="J313" s="1"/>
      <c r="K313" s="1"/>
      <c r="L313" s="1"/>
      <c r="M313" s="1"/>
      <c r="N313" s="1"/>
      <c r="O313" s="13"/>
      <c r="P313" s="1"/>
      <c r="Q313" s="1"/>
      <c r="R313" s="1"/>
      <c r="S313" s="1"/>
      <c r="T313" s="1"/>
      <c r="U313" s="1"/>
      <c r="V313" s="1"/>
      <c r="W313" s="1"/>
      <c r="X313" s="1"/>
      <c r="Y313" s="1"/>
      <c r="Z313" s="1"/>
    </row>
    <row r="314" ht="27.0" customHeight="1">
      <c r="A314" s="1"/>
      <c r="B314" s="1"/>
      <c r="C314" s="1"/>
      <c r="D314" s="1"/>
      <c r="E314" s="1"/>
      <c r="F314" s="1"/>
      <c r="G314" s="1"/>
      <c r="H314" s="1"/>
      <c r="I314" s="1"/>
      <c r="J314" s="1"/>
      <c r="K314" s="1"/>
      <c r="L314" s="1"/>
      <c r="M314" s="1"/>
      <c r="N314" s="1"/>
      <c r="O314" s="13"/>
      <c r="P314" s="1"/>
      <c r="Q314" s="1"/>
      <c r="R314" s="1"/>
      <c r="S314" s="1"/>
      <c r="T314" s="1"/>
      <c r="U314" s="1"/>
      <c r="V314" s="1"/>
      <c r="W314" s="1"/>
      <c r="X314" s="1"/>
      <c r="Y314" s="1"/>
      <c r="Z314" s="1"/>
    </row>
    <row r="315" ht="27.0" customHeight="1">
      <c r="A315" s="1"/>
      <c r="B315" s="1"/>
      <c r="C315" s="1"/>
      <c r="D315" s="1"/>
      <c r="E315" s="1"/>
      <c r="F315" s="1"/>
      <c r="G315" s="1"/>
      <c r="H315" s="1"/>
      <c r="I315" s="1"/>
      <c r="J315" s="1"/>
      <c r="K315" s="1"/>
      <c r="L315" s="1"/>
      <c r="M315" s="1"/>
      <c r="N315" s="1"/>
      <c r="O315" s="13"/>
      <c r="P315" s="1"/>
      <c r="Q315" s="1"/>
      <c r="R315" s="1"/>
      <c r="S315" s="1"/>
      <c r="T315" s="1"/>
      <c r="U315" s="1"/>
      <c r="V315" s="1"/>
      <c r="W315" s="1"/>
      <c r="X315" s="1"/>
      <c r="Y315" s="1"/>
      <c r="Z315" s="1"/>
    </row>
    <row r="316" ht="27.0" customHeight="1">
      <c r="A316" s="1"/>
      <c r="B316" s="1"/>
      <c r="C316" s="1"/>
      <c r="D316" s="1"/>
      <c r="E316" s="1"/>
      <c r="F316" s="1"/>
      <c r="G316" s="1"/>
      <c r="H316" s="1"/>
      <c r="I316" s="1"/>
      <c r="J316" s="1"/>
      <c r="K316" s="1"/>
      <c r="L316" s="1"/>
      <c r="M316" s="1"/>
      <c r="N316" s="1"/>
      <c r="O316" s="13"/>
      <c r="P316" s="1"/>
      <c r="Q316" s="1"/>
      <c r="R316" s="1"/>
      <c r="S316" s="1"/>
      <c r="T316" s="1"/>
      <c r="U316" s="1"/>
      <c r="V316" s="1"/>
      <c r="W316" s="1"/>
      <c r="X316" s="1"/>
      <c r="Y316" s="1"/>
      <c r="Z316" s="1"/>
    </row>
    <row r="317" ht="27.0" customHeight="1">
      <c r="A317" s="1"/>
      <c r="B317" s="1"/>
      <c r="C317" s="1"/>
      <c r="D317" s="1"/>
      <c r="E317" s="1"/>
      <c r="F317" s="1"/>
      <c r="G317" s="1"/>
      <c r="H317" s="1"/>
      <c r="I317" s="1"/>
      <c r="J317" s="1"/>
      <c r="K317" s="1"/>
      <c r="L317" s="1"/>
      <c r="M317" s="1"/>
      <c r="N317" s="1"/>
      <c r="O317" s="13"/>
      <c r="P317" s="1"/>
      <c r="Q317" s="1"/>
      <c r="R317" s="1"/>
      <c r="S317" s="1"/>
      <c r="T317" s="1"/>
      <c r="U317" s="1"/>
      <c r="V317" s="1"/>
      <c r="W317" s="1"/>
      <c r="X317" s="1"/>
      <c r="Y317" s="1"/>
      <c r="Z317" s="1"/>
    </row>
    <row r="318" ht="27.0" customHeight="1">
      <c r="A318" s="1"/>
      <c r="B318" s="1"/>
      <c r="C318" s="1"/>
      <c r="D318" s="1"/>
      <c r="E318" s="1"/>
      <c r="F318" s="1"/>
      <c r="G318" s="1"/>
      <c r="H318" s="1"/>
      <c r="I318" s="1"/>
      <c r="J318" s="1"/>
      <c r="K318" s="1"/>
      <c r="L318" s="1"/>
      <c r="M318" s="1"/>
      <c r="N318" s="1"/>
      <c r="O318" s="13"/>
      <c r="P318" s="1"/>
      <c r="Q318" s="1"/>
      <c r="R318" s="1"/>
      <c r="S318" s="1"/>
      <c r="T318" s="1"/>
      <c r="U318" s="1"/>
      <c r="V318" s="1"/>
      <c r="W318" s="1"/>
      <c r="X318" s="1"/>
      <c r="Y318" s="1"/>
      <c r="Z318" s="1"/>
    </row>
    <row r="319" ht="27.0" customHeight="1">
      <c r="A319" s="1"/>
      <c r="B319" s="1"/>
      <c r="C319" s="1"/>
      <c r="D319" s="1"/>
      <c r="E319" s="1"/>
      <c r="F319" s="1"/>
      <c r="G319" s="1"/>
      <c r="H319" s="1"/>
      <c r="I319" s="1"/>
      <c r="J319" s="1"/>
      <c r="K319" s="1"/>
      <c r="L319" s="1"/>
      <c r="M319" s="1"/>
      <c r="N319" s="1"/>
      <c r="O319" s="13"/>
      <c r="P319" s="1"/>
      <c r="Q319" s="1"/>
      <c r="R319" s="1"/>
      <c r="S319" s="1"/>
      <c r="T319" s="1"/>
      <c r="U319" s="1"/>
      <c r="V319" s="1"/>
      <c r="W319" s="1"/>
      <c r="X319" s="1"/>
      <c r="Y319" s="1"/>
      <c r="Z319" s="1"/>
    </row>
    <row r="320" ht="27.0" customHeight="1">
      <c r="A320" s="1"/>
      <c r="B320" s="1"/>
      <c r="C320" s="1"/>
      <c r="D320" s="1"/>
      <c r="E320" s="1"/>
      <c r="F320" s="1"/>
      <c r="G320" s="1"/>
      <c r="H320" s="1"/>
      <c r="I320" s="1"/>
      <c r="J320" s="1"/>
      <c r="K320" s="1"/>
      <c r="L320" s="1"/>
      <c r="M320" s="1"/>
      <c r="N320" s="1"/>
      <c r="O320" s="13"/>
      <c r="P320" s="1"/>
      <c r="Q320" s="1"/>
      <c r="R320" s="1"/>
      <c r="S320" s="1"/>
      <c r="T320" s="1"/>
      <c r="U320" s="1"/>
      <c r="V320" s="1"/>
      <c r="W320" s="1"/>
      <c r="X320" s="1"/>
      <c r="Y320" s="1"/>
      <c r="Z320" s="1"/>
    </row>
    <row r="321" ht="27.0" customHeight="1">
      <c r="A321" s="1"/>
      <c r="B321" s="1"/>
      <c r="C321" s="1"/>
      <c r="D321" s="1"/>
      <c r="E321" s="1"/>
      <c r="F321" s="1"/>
      <c r="G321" s="1"/>
      <c r="H321" s="1"/>
      <c r="I321" s="1"/>
      <c r="J321" s="1"/>
      <c r="K321" s="1"/>
      <c r="L321" s="1"/>
      <c r="M321" s="1"/>
      <c r="N321" s="1"/>
      <c r="O321" s="13"/>
      <c r="P321" s="1"/>
      <c r="Q321" s="1"/>
      <c r="R321" s="1"/>
      <c r="S321" s="1"/>
      <c r="T321" s="1"/>
      <c r="U321" s="1"/>
      <c r="V321" s="1"/>
      <c r="W321" s="1"/>
      <c r="X321" s="1"/>
      <c r="Y321" s="1"/>
      <c r="Z321" s="1"/>
    </row>
    <row r="322" ht="27.0" customHeight="1">
      <c r="A322" s="1"/>
      <c r="B322" s="1"/>
      <c r="C322" s="1"/>
      <c r="D322" s="1"/>
      <c r="E322" s="1"/>
      <c r="F322" s="1"/>
      <c r="G322" s="1"/>
      <c r="H322" s="1"/>
      <c r="I322" s="1"/>
      <c r="J322" s="1"/>
      <c r="K322" s="1"/>
      <c r="L322" s="1"/>
      <c r="M322" s="1"/>
      <c r="N322" s="1"/>
      <c r="O322" s="13"/>
      <c r="P322" s="1"/>
      <c r="Q322" s="1"/>
      <c r="R322" s="1"/>
      <c r="S322" s="1"/>
      <c r="T322" s="1"/>
      <c r="U322" s="1"/>
      <c r="V322" s="1"/>
      <c r="W322" s="1"/>
      <c r="X322" s="1"/>
      <c r="Y322" s="1"/>
      <c r="Z322" s="1"/>
    </row>
    <row r="323" ht="27.0" customHeight="1">
      <c r="A323" s="1"/>
      <c r="B323" s="1"/>
      <c r="C323" s="1"/>
      <c r="D323" s="1"/>
      <c r="E323" s="1"/>
      <c r="F323" s="1"/>
      <c r="G323" s="1"/>
      <c r="H323" s="1"/>
      <c r="I323" s="1"/>
      <c r="J323" s="1"/>
      <c r="K323" s="1"/>
      <c r="L323" s="1"/>
      <c r="M323" s="1"/>
      <c r="N323" s="1"/>
      <c r="O323" s="13"/>
      <c r="P323" s="1"/>
      <c r="Q323" s="1"/>
      <c r="R323" s="1"/>
      <c r="S323" s="1"/>
      <c r="T323" s="1"/>
      <c r="U323" s="1"/>
      <c r="V323" s="1"/>
      <c r="W323" s="1"/>
      <c r="X323" s="1"/>
      <c r="Y323" s="1"/>
      <c r="Z323" s="1"/>
    </row>
    <row r="324" ht="27.0" customHeight="1">
      <c r="A324" s="1"/>
      <c r="B324" s="1"/>
      <c r="C324" s="1"/>
      <c r="D324" s="1"/>
      <c r="E324" s="1"/>
      <c r="F324" s="1"/>
      <c r="G324" s="1"/>
      <c r="H324" s="1"/>
      <c r="I324" s="1"/>
      <c r="J324" s="1"/>
      <c r="K324" s="1"/>
      <c r="L324" s="1"/>
      <c r="M324" s="1"/>
      <c r="N324" s="1"/>
      <c r="O324" s="13"/>
      <c r="P324" s="1"/>
      <c r="Q324" s="1"/>
      <c r="R324" s="1"/>
      <c r="S324" s="1"/>
      <c r="T324" s="1"/>
      <c r="U324" s="1"/>
      <c r="V324" s="1"/>
      <c r="W324" s="1"/>
      <c r="X324" s="1"/>
      <c r="Y324" s="1"/>
      <c r="Z324" s="1"/>
    </row>
    <row r="325" ht="27.0" customHeight="1">
      <c r="A325" s="1"/>
      <c r="B325" s="1"/>
      <c r="C325" s="1"/>
      <c r="D325" s="1"/>
      <c r="E325" s="1"/>
      <c r="F325" s="1"/>
      <c r="G325" s="1"/>
      <c r="H325" s="1"/>
      <c r="I325" s="1"/>
      <c r="J325" s="1"/>
      <c r="K325" s="1"/>
      <c r="L325" s="1"/>
      <c r="M325" s="1"/>
      <c r="N325" s="1"/>
      <c r="O325" s="13"/>
      <c r="P325" s="1"/>
      <c r="Q325" s="1"/>
      <c r="R325" s="1"/>
      <c r="S325" s="1"/>
      <c r="T325" s="1"/>
      <c r="U325" s="1"/>
      <c r="V325" s="1"/>
      <c r="W325" s="1"/>
      <c r="X325" s="1"/>
      <c r="Y325" s="1"/>
      <c r="Z325" s="1"/>
    </row>
    <row r="326" ht="27.0" customHeight="1">
      <c r="A326" s="1"/>
      <c r="B326" s="1"/>
      <c r="C326" s="1"/>
      <c r="D326" s="1"/>
      <c r="E326" s="1"/>
      <c r="F326" s="1"/>
      <c r="G326" s="1"/>
      <c r="H326" s="1"/>
      <c r="I326" s="1"/>
      <c r="J326" s="1"/>
      <c r="K326" s="1"/>
      <c r="L326" s="1"/>
      <c r="M326" s="1"/>
      <c r="N326" s="1"/>
      <c r="O326" s="13"/>
      <c r="P326" s="1"/>
      <c r="Q326" s="1"/>
      <c r="R326" s="1"/>
      <c r="S326" s="1"/>
      <c r="T326" s="1"/>
      <c r="U326" s="1"/>
      <c r="V326" s="1"/>
      <c r="W326" s="1"/>
      <c r="X326" s="1"/>
      <c r="Y326" s="1"/>
      <c r="Z326" s="1"/>
    </row>
    <row r="327" ht="27.0" customHeight="1">
      <c r="A327" s="1"/>
      <c r="B327" s="1"/>
      <c r="C327" s="1"/>
      <c r="D327" s="1"/>
      <c r="E327" s="1"/>
      <c r="F327" s="1"/>
      <c r="G327" s="1"/>
      <c r="H327" s="1"/>
      <c r="I327" s="1"/>
      <c r="J327" s="1"/>
      <c r="K327" s="1"/>
      <c r="L327" s="1"/>
      <c r="M327" s="1"/>
      <c r="N327" s="1"/>
      <c r="O327" s="13"/>
      <c r="P327" s="1"/>
      <c r="Q327" s="1"/>
      <c r="R327" s="1"/>
      <c r="S327" s="1"/>
      <c r="T327" s="1"/>
      <c r="U327" s="1"/>
      <c r="V327" s="1"/>
      <c r="W327" s="1"/>
      <c r="X327" s="1"/>
      <c r="Y327" s="1"/>
      <c r="Z327" s="1"/>
    </row>
    <row r="328" ht="27.0" customHeight="1">
      <c r="A328" s="1"/>
      <c r="B328" s="1"/>
      <c r="C328" s="1"/>
      <c r="D328" s="1"/>
      <c r="E328" s="1"/>
      <c r="F328" s="1"/>
      <c r="G328" s="1"/>
      <c r="H328" s="1"/>
      <c r="I328" s="1"/>
      <c r="J328" s="1"/>
      <c r="K328" s="1"/>
      <c r="L328" s="1"/>
      <c r="M328" s="1"/>
      <c r="N328" s="1"/>
      <c r="O328" s="13"/>
      <c r="P328" s="1"/>
      <c r="Q328" s="1"/>
      <c r="R328" s="1"/>
      <c r="S328" s="1"/>
      <c r="T328" s="1"/>
      <c r="U328" s="1"/>
      <c r="V328" s="1"/>
      <c r="W328" s="1"/>
      <c r="X328" s="1"/>
      <c r="Y328" s="1"/>
      <c r="Z328" s="1"/>
    </row>
    <row r="329" ht="27.0" customHeight="1">
      <c r="A329" s="1"/>
      <c r="B329" s="1"/>
      <c r="C329" s="1"/>
      <c r="D329" s="1"/>
      <c r="E329" s="1"/>
      <c r="F329" s="1"/>
      <c r="G329" s="1"/>
      <c r="H329" s="1"/>
      <c r="I329" s="1"/>
      <c r="J329" s="1"/>
      <c r="K329" s="1"/>
      <c r="L329" s="1"/>
      <c r="M329" s="1"/>
      <c r="N329" s="1"/>
      <c r="O329" s="13"/>
      <c r="P329" s="1"/>
      <c r="Q329" s="1"/>
      <c r="R329" s="1"/>
      <c r="S329" s="1"/>
      <c r="T329" s="1"/>
      <c r="U329" s="1"/>
      <c r="V329" s="1"/>
      <c r="W329" s="1"/>
      <c r="X329" s="1"/>
      <c r="Y329" s="1"/>
      <c r="Z329" s="1"/>
    </row>
    <row r="330" ht="27.0" customHeight="1">
      <c r="A330" s="1"/>
      <c r="B330" s="1"/>
      <c r="C330" s="1"/>
      <c r="D330" s="1"/>
      <c r="E330" s="1"/>
      <c r="F330" s="1"/>
      <c r="G330" s="1"/>
      <c r="H330" s="1"/>
      <c r="I330" s="1"/>
      <c r="J330" s="1"/>
      <c r="K330" s="1"/>
      <c r="L330" s="1"/>
      <c r="M330" s="1"/>
      <c r="N330" s="1"/>
      <c r="O330" s="13"/>
      <c r="P330" s="1"/>
      <c r="Q330" s="1"/>
      <c r="R330" s="1"/>
      <c r="S330" s="1"/>
      <c r="T330" s="1"/>
      <c r="U330" s="1"/>
      <c r="V330" s="1"/>
      <c r="W330" s="1"/>
      <c r="X330" s="1"/>
      <c r="Y330" s="1"/>
      <c r="Z330" s="1"/>
    </row>
    <row r="331" ht="27.0" customHeight="1">
      <c r="A331" s="1"/>
      <c r="B331" s="1"/>
      <c r="C331" s="1"/>
      <c r="D331" s="1"/>
      <c r="E331" s="1"/>
      <c r="F331" s="1"/>
      <c r="G331" s="1"/>
      <c r="H331" s="1"/>
      <c r="I331" s="1"/>
      <c r="J331" s="1"/>
      <c r="K331" s="1"/>
      <c r="L331" s="1"/>
      <c r="M331" s="1"/>
      <c r="N331" s="1"/>
      <c r="O331" s="13"/>
      <c r="P331" s="1"/>
      <c r="Q331" s="1"/>
      <c r="R331" s="1"/>
      <c r="S331" s="1"/>
      <c r="T331" s="1"/>
      <c r="U331" s="1"/>
      <c r="V331" s="1"/>
      <c r="W331" s="1"/>
      <c r="X331" s="1"/>
      <c r="Y331" s="1"/>
      <c r="Z331" s="1"/>
    </row>
    <row r="332" ht="27.0" customHeight="1">
      <c r="A332" s="1"/>
      <c r="B332" s="1"/>
      <c r="C332" s="1"/>
      <c r="D332" s="1"/>
      <c r="E332" s="1"/>
      <c r="F332" s="1"/>
      <c r="G332" s="1"/>
      <c r="H332" s="1"/>
      <c r="I332" s="1"/>
      <c r="J332" s="1"/>
      <c r="K332" s="1"/>
      <c r="L332" s="1"/>
      <c r="M332" s="1"/>
      <c r="N332" s="1"/>
      <c r="O332" s="13"/>
      <c r="P332" s="1"/>
      <c r="Q332" s="1"/>
      <c r="R332" s="1"/>
      <c r="S332" s="1"/>
      <c r="T332" s="1"/>
      <c r="U332" s="1"/>
      <c r="V332" s="1"/>
      <c r="W332" s="1"/>
      <c r="X332" s="1"/>
      <c r="Y332" s="1"/>
      <c r="Z332" s="1"/>
    </row>
    <row r="333" ht="27.0" customHeight="1">
      <c r="A333" s="1"/>
      <c r="B333" s="1"/>
      <c r="C333" s="1"/>
      <c r="D333" s="1"/>
      <c r="E333" s="1"/>
      <c r="F333" s="1"/>
      <c r="G333" s="1"/>
      <c r="H333" s="1"/>
      <c r="I333" s="1"/>
      <c r="J333" s="1"/>
      <c r="K333" s="1"/>
      <c r="L333" s="1"/>
      <c r="M333" s="1"/>
      <c r="N333" s="1"/>
      <c r="O333" s="13"/>
      <c r="P333" s="1"/>
      <c r="Q333" s="1"/>
      <c r="R333" s="1"/>
      <c r="S333" s="1"/>
      <c r="T333" s="1"/>
      <c r="U333" s="1"/>
      <c r="V333" s="1"/>
      <c r="W333" s="1"/>
      <c r="X333" s="1"/>
      <c r="Y333" s="1"/>
      <c r="Z333" s="1"/>
    </row>
    <row r="334" ht="27.0" customHeight="1">
      <c r="A334" s="1"/>
      <c r="B334" s="1"/>
      <c r="C334" s="1"/>
      <c r="D334" s="1"/>
      <c r="E334" s="1"/>
      <c r="F334" s="1"/>
      <c r="G334" s="1"/>
      <c r="H334" s="1"/>
      <c r="I334" s="1"/>
      <c r="J334" s="1"/>
      <c r="K334" s="1"/>
      <c r="L334" s="1"/>
      <c r="M334" s="1"/>
      <c r="N334" s="1"/>
      <c r="O334" s="13"/>
      <c r="P334" s="1"/>
      <c r="Q334" s="1"/>
      <c r="R334" s="1"/>
      <c r="S334" s="1"/>
      <c r="T334" s="1"/>
      <c r="U334" s="1"/>
      <c r="V334" s="1"/>
      <c r="W334" s="1"/>
      <c r="X334" s="1"/>
      <c r="Y334" s="1"/>
      <c r="Z334" s="1"/>
    </row>
    <row r="335" ht="27.0" customHeight="1">
      <c r="A335" s="1"/>
      <c r="B335" s="1"/>
      <c r="C335" s="1"/>
      <c r="D335" s="1"/>
      <c r="E335" s="1"/>
      <c r="F335" s="1"/>
      <c r="G335" s="1"/>
      <c r="H335" s="1"/>
      <c r="I335" s="1"/>
      <c r="J335" s="1"/>
      <c r="K335" s="1"/>
      <c r="L335" s="1"/>
      <c r="M335" s="1"/>
      <c r="N335" s="1"/>
      <c r="O335" s="13"/>
      <c r="P335" s="1"/>
      <c r="Q335" s="1"/>
      <c r="R335" s="1"/>
      <c r="S335" s="1"/>
      <c r="T335" s="1"/>
      <c r="U335" s="1"/>
      <c r="V335" s="1"/>
      <c r="W335" s="1"/>
      <c r="X335" s="1"/>
      <c r="Y335" s="1"/>
      <c r="Z335" s="1"/>
    </row>
    <row r="336" ht="27.0" customHeight="1">
      <c r="A336" s="1"/>
      <c r="B336" s="1"/>
      <c r="C336" s="1"/>
      <c r="D336" s="1"/>
      <c r="E336" s="1"/>
      <c r="F336" s="1"/>
      <c r="G336" s="1"/>
      <c r="H336" s="1"/>
      <c r="I336" s="1"/>
      <c r="J336" s="1"/>
      <c r="K336" s="1"/>
      <c r="L336" s="1"/>
      <c r="M336" s="1"/>
      <c r="N336" s="1"/>
      <c r="O336" s="13"/>
      <c r="P336" s="1"/>
      <c r="Q336" s="1"/>
      <c r="R336" s="1"/>
      <c r="S336" s="1"/>
      <c r="T336" s="1"/>
      <c r="U336" s="1"/>
      <c r="V336" s="1"/>
      <c r="W336" s="1"/>
      <c r="X336" s="1"/>
      <c r="Y336" s="1"/>
      <c r="Z336" s="1"/>
    </row>
    <row r="337" ht="27.0" customHeight="1">
      <c r="A337" s="1"/>
      <c r="B337" s="1"/>
      <c r="C337" s="1"/>
      <c r="D337" s="1"/>
      <c r="E337" s="1"/>
      <c r="F337" s="1"/>
      <c r="G337" s="1"/>
      <c r="H337" s="1"/>
      <c r="I337" s="1"/>
      <c r="J337" s="1"/>
      <c r="K337" s="1"/>
      <c r="L337" s="1"/>
      <c r="M337" s="1"/>
      <c r="N337" s="1"/>
      <c r="O337" s="13"/>
      <c r="P337" s="1"/>
      <c r="Q337" s="1"/>
      <c r="R337" s="1"/>
      <c r="S337" s="1"/>
      <c r="T337" s="1"/>
      <c r="U337" s="1"/>
      <c r="V337" s="1"/>
      <c r="W337" s="1"/>
      <c r="X337" s="1"/>
      <c r="Y337" s="1"/>
      <c r="Z337" s="1"/>
    </row>
    <row r="338" ht="27.0" customHeight="1">
      <c r="A338" s="1"/>
      <c r="B338" s="1"/>
      <c r="C338" s="1"/>
      <c r="D338" s="1"/>
      <c r="E338" s="1"/>
      <c r="F338" s="1"/>
      <c r="G338" s="1"/>
      <c r="H338" s="1"/>
      <c r="I338" s="1"/>
      <c r="J338" s="1"/>
      <c r="K338" s="1"/>
      <c r="L338" s="1"/>
      <c r="M338" s="1"/>
      <c r="N338" s="1"/>
      <c r="O338" s="13"/>
      <c r="P338" s="1"/>
      <c r="Q338" s="1"/>
      <c r="R338" s="1"/>
      <c r="S338" s="1"/>
      <c r="T338" s="1"/>
      <c r="U338" s="1"/>
      <c r="V338" s="1"/>
      <c r="W338" s="1"/>
      <c r="X338" s="1"/>
      <c r="Y338" s="1"/>
      <c r="Z338" s="1"/>
    </row>
    <row r="339" ht="27.0" customHeight="1">
      <c r="A339" s="1"/>
      <c r="B339" s="1"/>
      <c r="C339" s="1"/>
      <c r="D339" s="1"/>
      <c r="E339" s="1"/>
      <c r="F339" s="1"/>
      <c r="G339" s="1"/>
      <c r="H339" s="1"/>
      <c r="I339" s="1"/>
      <c r="J339" s="1"/>
      <c r="K339" s="1"/>
      <c r="L339" s="1"/>
      <c r="M339" s="1"/>
      <c r="N339" s="1"/>
      <c r="O339" s="13"/>
      <c r="P339" s="1"/>
      <c r="Q339" s="1"/>
      <c r="R339" s="1"/>
      <c r="S339" s="1"/>
      <c r="T339" s="1"/>
      <c r="U339" s="1"/>
      <c r="V339" s="1"/>
      <c r="W339" s="1"/>
      <c r="X339" s="1"/>
      <c r="Y339" s="1"/>
      <c r="Z339" s="1"/>
    </row>
    <row r="340" ht="27.0" customHeight="1">
      <c r="A340" s="1"/>
      <c r="B340" s="1"/>
      <c r="C340" s="1"/>
      <c r="D340" s="1"/>
      <c r="E340" s="1"/>
      <c r="F340" s="1"/>
      <c r="G340" s="1"/>
      <c r="H340" s="1"/>
      <c r="I340" s="1"/>
      <c r="J340" s="1"/>
      <c r="K340" s="1"/>
      <c r="L340" s="1"/>
      <c r="M340" s="1"/>
      <c r="N340" s="1"/>
      <c r="O340" s="13"/>
      <c r="P340" s="1"/>
      <c r="Q340" s="1"/>
      <c r="R340" s="1"/>
      <c r="S340" s="1"/>
      <c r="T340" s="1"/>
      <c r="U340" s="1"/>
      <c r="V340" s="1"/>
      <c r="W340" s="1"/>
      <c r="X340" s="1"/>
      <c r="Y340" s="1"/>
      <c r="Z340" s="1"/>
    </row>
    <row r="341" ht="27.0" customHeight="1">
      <c r="A341" s="1"/>
      <c r="B341" s="1"/>
      <c r="C341" s="1"/>
      <c r="D341" s="1"/>
      <c r="E341" s="1"/>
      <c r="F341" s="1"/>
      <c r="G341" s="1"/>
      <c r="H341" s="1"/>
      <c r="I341" s="1"/>
      <c r="J341" s="1"/>
      <c r="K341" s="1"/>
      <c r="L341" s="1"/>
      <c r="M341" s="1"/>
      <c r="N341" s="1"/>
      <c r="O341" s="13"/>
      <c r="P341" s="1"/>
      <c r="Q341" s="1"/>
      <c r="R341" s="1"/>
      <c r="S341" s="1"/>
      <c r="T341" s="1"/>
      <c r="U341" s="1"/>
      <c r="V341" s="1"/>
      <c r="W341" s="1"/>
      <c r="X341" s="1"/>
      <c r="Y341" s="1"/>
      <c r="Z341" s="1"/>
    </row>
    <row r="342" ht="27.0" customHeight="1">
      <c r="A342" s="1"/>
      <c r="B342" s="1"/>
      <c r="C342" s="1"/>
      <c r="D342" s="1"/>
      <c r="E342" s="1"/>
      <c r="F342" s="1"/>
      <c r="G342" s="1"/>
      <c r="H342" s="1"/>
      <c r="I342" s="1"/>
      <c r="J342" s="1"/>
      <c r="K342" s="1"/>
      <c r="L342" s="1"/>
      <c r="M342" s="1"/>
      <c r="N342" s="1"/>
      <c r="O342" s="13"/>
      <c r="P342" s="1"/>
      <c r="Q342" s="1"/>
      <c r="R342" s="1"/>
      <c r="S342" s="1"/>
      <c r="T342" s="1"/>
      <c r="U342" s="1"/>
      <c r="V342" s="1"/>
      <c r="W342" s="1"/>
      <c r="X342" s="1"/>
      <c r="Y342" s="1"/>
      <c r="Z342" s="1"/>
    </row>
    <row r="343" ht="27.0" customHeight="1">
      <c r="A343" s="1"/>
      <c r="B343" s="1"/>
      <c r="C343" s="1"/>
      <c r="D343" s="1"/>
      <c r="E343" s="1"/>
      <c r="F343" s="1"/>
      <c r="G343" s="1"/>
      <c r="H343" s="1"/>
      <c r="I343" s="1"/>
      <c r="J343" s="1"/>
      <c r="K343" s="1"/>
      <c r="L343" s="1"/>
      <c r="M343" s="1"/>
      <c r="N343" s="1"/>
      <c r="O343" s="13"/>
      <c r="P343" s="1"/>
      <c r="Q343" s="1"/>
      <c r="R343" s="1"/>
      <c r="S343" s="1"/>
      <c r="T343" s="1"/>
      <c r="U343" s="1"/>
      <c r="V343" s="1"/>
      <c r="W343" s="1"/>
      <c r="X343" s="1"/>
      <c r="Y343" s="1"/>
      <c r="Z343" s="1"/>
    </row>
    <row r="344" ht="27.0" customHeight="1">
      <c r="A344" s="1"/>
      <c r="B344" s="1"/>
      <c r="C344" s="1"/>
      <c r="D344" s="1"/>
      <c r="E344" s="1"/>
      <c r="F344" s="1"/>
      <c r="G344" s="1"/>
      <c r="H344" s="1"/>
      <c r="I344" s="1"/>
      <c r="J344" s="1"/>
      <c r="K344" s="1"/>
      <c r="L344" s="1"/>
      <c r="M344" s="1"/>
      <c r="N344" s="1"/>
      <c r="O344" s="13"/>
      <c r="P344" s="1"/>
      <c r="Q344" s="1"/>
      <c r="R344" s="1"/>
      <c r="S344" s="1"/>
      <c r="T344" s="1"/>
      <c r="U344" s="1"/>
      <c r="V344" s="1"/>
      <c r="W344" s="1"/>
      <c r="X344" s="1"/>
      <c r="Y344" s="1"/>
      <c r="Z344" s="1"/>
    </row>
    <row r="345" ht="27.0" customHeight="1">
      <c r="A345" s="1"/>
      <c r="B345" s="1"/>
      <c r="C345" s="1"/>
      <c r="D345" s="1"/>
      <c r="E345" s="1"/>
      <c r="F345" s="1"/>
      <c r="G345" s="1"/>
      <c r="H345" s="1"/>
      <c r="I345" s="1"/>
      <c r="J345" s="1"/>
      <c r="K345" s="1"/>
      <c r="L345" s="1"/>
      <c r="M345" s="1"/>
      <c r="N345" s="1"/>
      <c r="O345" s="13"/>
      <c r="P345" s="1"/>
      <c r="Q345" s="1"/>
      <c r="R345" s="1"/>
      <c r="S345" s="1"/>
      <c r="T345" s="1"/>
      <c r="U345" s="1"/>
      <c r="V345" s="1"/>
      <c r="W345" s="1"/>
      <c r="X345" s="1"/>
      <c r="Y345" s="1"/>
      <c r="Z345" s="1"/>
    </row>
    <row r="346" ht="27.0" customHeight="1">
      <c r="A346" s="1"/>
      <c r="B346" s="1"/>
      <c r="C346" s="1"/>
      <c r="D346" s="1"/>
      <c r="E346" s="1"/>
      <c r="F346" s="1"/>
      <c r="G346" s="1"/>
      <c r="H346" s="1"/>
      <c r="I346" s="1"/>
      <c r="J346" s="1"/>
      <c r="K346" s="1"/>
      <c r="L346" s="1"/>
      <c r="M346" s="1"/>
      <c r="N346" s="1"/>
      <c r="O346" s="13"/>
      <c r="P346" s="1"/>
      <c r="Q346" s="1"/>
      <c r="R346" s="1"/>
      <c r="S346" s="1"/>
      <c r="T346" s="1"/>
      <c r="U346" s="1"/>
      <c r="V346" s="1"/>
      <c r="W346" s="1"/>
      <c r="X346" s="1"/>
      <c r="Y346" s="1"/>
      <c r="Z346" s="1"/>
    </row>
    <row r="347" ht="27.0" customHeight="1">
      <c r="A347" s="1"/>
      <c r="B347" s="1"/>
      <c r="C347" s="1"/>
      <c r="D347" s="1"/>
      <c r="E347" s="1"/>
      <c r="F347" s="1"/>
      <c r="G347" s="1"/>
      <c r="H347" s="1"/>
      <c r="I347" s="1"/>
      <c r="J347" s="1"/>
      <c r="K347" s="1"/>
      <c r="L347" s="1"/>
      <c r="M347" s="1"/>
      <c r="N347" s="1"/>
      <c r="O347" s="13"/>
      <c r="P347" s="1"/>
      <c r="Q347" s="1"/>
      <c r="R347" s="1"/>
      <c r="S347" s="1"/>
      <c r="T347" s="1"/>
      <c r="U347" s="1"/>
      <c r="V347" s="1"/>
      <c r="W347" s="1"/>
      <c r="X347" s="1"/>
      <c r="Y347" s="1"/>
      <c r="Z347" s="1"/>
    </row>
    <row r="348" ht="27.0" customHeight="1">
      <c r="A348" s="1"/>
      <c r="B348" s="1"/>
      <c r="C348" s="1"/>
      <c r="D348" s="1"/>
      <c r="E348" s="1"/>
      <c r="F348" s="1"/>
      <c r="G348" s="1"/>
      <c r="H348" s="1"/>
      <c r="I348" s="1"/>
      <c r="J348" s="1"/>
      <c r="K348" s="1"/>
      <c r="L348" s="1"/>
      <c r="M348" s="1"/>
      <c r="N348" s="1"/>
      <c r="O348" s="13"/>
      <c r="P348" s="1"/>
      <c r="Q348" s="1"/>
      <c r="R348" s="1"/>
      <c r="S348" s="1"/>
      <c r="T348" s="1"/>
      <c r="U348" s="1"/>
      <c r="V348" s="1"/>
      <c r="W348" s="1"/>
      <c r="X348" s="1"/>
      <c r="Y348" s="1"/>
      <c r="Z348" s="1"/>
    </row>
    <row r="349" ht="27.0" customHeight="1">
      <c r="A349" s="1"/>
      <c r="B349" s="1"/>
      <c r="C349" s="1"/>
      <c r="D349" s="1"/>
      <c r="E349" s="1"/>
      <c r="F349" s="1"/>
      <c r="G349" s="1"/>
      <c r="H349" s="1"/>
      <c r="I349" s="1"/>
      <c r="J349" s="1"/>
      <c r="K349" s="1"/>
      <c r="L349" s="1"/>
      <c r="M349" s="1"/>
      <c r="N349" s="1"/>
      <c r="O349" s="13"/>
      <c r="P349" s="1"/>
      <c r="Q349" s="1"/>
      <c r="R349" s="1"/>
      <c r="S349" s="1"/>
      <c r="T349" s="1"/>
      <c r="U349" s="1"/>
      <c r="V349" s="1"/>
      <c r="W349" s="1"/>
      <c r="X349" s="1"/>
      <c r="Y349" s="1"/>
      <c r="Z349" s="1"/>
    </row>
    <row r="350" ht="27.0" customHeight="1">
      <c r="A350" s="1"/>
      <c r="B350" s="1"/>
      <c r="C350" s="1"/>
      <c r="D350" s="1"/>
      <c r="E350" s="1"/>
      <c r="F350" s="1"/>
      <c r="G350" s="1"/>
      <c r="H350" s="1"/>
      <c r="I350" s="1"/>
      <c r="J350" s="1"/>
      <c r="K350" s="1"/>
      <c r="L350" s="1"/>
      <c r="M350" s="1"/>
      <c r="N350" s="1"/>
      <c r="O350" s="13"/>
      <c r="P350" s="1"/>
      <c r="Q350" s="1"/>
      <c r="R350" s="1"/>
      <c r="S350" s="1"/>
      <c r="T350" s="1"/>
      <c r="U350" s="1"/>
      <c r="V350" s="1"/>
      <c r="W350" s="1"/>
      <c r="X350" s="1"/>
      <c r="Y350" s="1"/>
      <c r="Z350" s="1"/>
    </row>
    <row r="351" ht="27.0" customHeight="1">
      <c r="A351" s="1"/>
      <c r="B351" s="1"/>
      <c r="C351" s="1"/>
      <c r="D351" s="1"/>
      <c r="E351" s="1"/>
      <c r="F351" s="1"/>
      <c r="G351" s="1"/>
      <c r="H351" s="1"/>
      <c r="I351" s="1"/>
      <c r="J351" s="1"/>
      <c r="K351" s="1"/>
      <c r="L351" s="1"/>
      <c r="M351" s="1"/>
      <c r="N351" s="1"/>
      <c r="O351" s="13"/>
      <c r="P351" s="1"/>
      <c r="Q351" s="1"/>
      <c r="R351" s="1"/>
      <c r="S351" s="1"/>
      <c r="T351" s="1"/>
      <c r="U351" s="1"/>
      <c r="V351" s="1"/>
      <c r="W351" s="1"/>
      <c r="X351" s="1"/>
      <c r="Y351" s="1"/>
      <c r="Z351" s="1"/>
    </row>
    <row r="352" ht="27.0" customHeight="1">
      <c r="A352" s="1"/>
      <c r="B352" s="1"/>
      <c r="C352" s="1"/>
      <c r="D352" s="1"/>
      <c r="E352" s="1"/>
      <c r="F352" s="1"/>
      <c r="G352" s="1"/>
      <c r="H352" s="1"/>
      <c r="I352" s="1"/>
      <c r="J352" s="1"/>
      <c r="K352" s="1"/>
      <c r="L352" s="1"/>
      <c r="M352" s="1"/>
      <c r="N352" s="1"/>
      <c r="O352" s="13"/>
      <c r="P352" s="1"/>
      <c r="Q352" s="1"/>
      <c r="R352" s="1"/>
      <c r="S352" s="1"/>
      <c r="T352" s="1"/>
      <c r="U352" s="1"/>
      <c r="V352" s="1"/>
      <c r="W352" s="1"/>
      <c r="X352" s="1"/>
      <c r="Y352" s="1"/>
      <c r="Z352" s="1"/>
    </row>
    <row r="353" ht="27.0" customHeight="1">
      <c r="A353" s="1"/>
      <c r="B353" s="1"/>
      <c r="C353" s="1"/>
      <c r="D353" s="1"/>
      <c r="E353" s="1"/>
      <c r="F353" s="1"/>
      <c r="G353" s="1"/>
      <c r="H353" s="1"/>
      <c r="I353" s="1"/>
      <c r="J353" s="1"/>
      <c r="K353" s="1"/>
      <c r="L353" s="1"/>
      <c r="M353" s="1"/>
      <c r="N353" s="1"/>
      <c r="O353" s="13"/>
      <c r="P353" s="1"/>
      <c r="Q353" s="1"/>
      <c r="R353" s="1"/>
      <c r="S353" s="1"/>
      <c r="T353" s="1"/>
      <c r="U353" s="1"/>
      <c r="V353" s="1"/>
      <c r="W353" s="1"/>
      <c r="X353" s="1"/>
      <c r="Y353" s="1"/>
      <c r="Z353" s="1"/>
    </row>
    <row r="354" ht="27.0" customHeight="1">
      <c r="A354" s="1"/>
      <c r="B354" s="1"/>
      <c r="C354" s="1"/>
      <c r="D354" s="1"/>
      <c r="E354" s="1"/>
      <c r="F354" s="1"/>
      <c r="G354" s="1"/>
      <c r="H354" s="1"/>
      <c r="I354" s="1"/>
      <c r="J354" s="1"/>
      <c r="K354" s="1"/>
      <c r="L354" s="1"/>
      <c r="M354" s="1"/>
      <c r="N354" s="1"/>
      <c r="O354" s="13"/>
      <c r="P354" s="1"/>
      <c r="Q354" s="1"/>
      <c r="R354" s="1"/>
      <c r="S354" s="1"/>
      <c r="T354" s="1"/>
      <c r="U354" s="1"/>
      <c r="V354" s="1"/>
      <c r="W354" s="1"/>
      <c r="X354" s="1"/>
      <c r="Y354" s="1"/>
      <c r="Z354" s="1"/>
    </row>
    <row r="355" ht="27.0" customHeight="1">
      <c r="A355" s="1"/>
      <c r="B355" s="1"/>
      <c r="C355" s="1"/>
      <c r="D355" s="1"/>
      <c r="E355" s="1"/>
      <c r="F355" s="1"/>
      <c r="G355" s="1"/>
      <c r="H355" s="1"/>
      <c r="I355" s="1"/>
      <c r="J355" s="1"/>
      <c r="K355" s="1"/>
      <c r="L355" s="1"/>
      <c r="M355" s="1"/>
      <c r="N355" s="1"/>
      <c r="O355" s="13"/>
      <c r="P355" s="1"/>
      <c r="Q355" s="1"/>
      <c r="R355" s="1"/>
      <c r="S355" s="1"/>
      <c r="T355" s="1"/>
      <c r="U355" s="1"/>
      <c r="V355" s="1"/>
      <c r="W355" s="1"/>
      <c r="X355" s="1"/>
      <c r="Y355" s="1"/>
      <c r="Z355" s="1"/>
    </row>
    <row r="356" ht="27.0" customHeight="1">
      <c r="A356" s="1"/>
      <c r="B356" s="1"/>
      <c r="C356" s="1"/>
      <c r="D356" s="1"/>
      <c r="E356" s="1"/>
      <c r="F356" s="1"/>
      <c r="G356" s="1"/>
      <c r="H356" s="1"/>
      <c r="I356" s="1"/>
      <c r="J356" s="1"/>
      <c r="K356" s="1"/>
      <c r="L356" s="1"/>
      <c r="M356" s="1"/>
      <c r="N356" s="1"/>
      <c r="O356" s="13"/>
      <c r="P356" s="1"/>
      <c r="Q356" s="1"/>
      <c r="R356" s="1"/>
      <c r="S356" s="1"/>
      <c r="T356" s="1"/>
      <c r="U356" s="1"/>
      <c r="V356" s="1"/>
      <c r="W356" s="1"/>
      <c r="X356" s="1"/>
      <c r="Y356" s="1"/>
      <c r="Z356" s="1"/>
    </row>
    <row r="357" ht="27.0" customHeight="1">
      <c r="A357" s="1"/>
      <c r="B357" s="1"/>
      <c r="C357" s="1"/>
      <c r="D357" s="1"/>
      <c r="E357" s="1"/>
      <c r="F357" s="1"/>
      <c r="G357" s="1"/>
      <c r="H357" s="1"/>
      <c r="I357" s="1"/>
      <c r="J357" s="1"/>
      <c r="K357" s="1"/>
      <c r="L357" s="1"/>
      <c r="M357" s="1"/>
      <c r="N357" s="1"/>
      <c r="O357" s="13"/>
      <c r="P357" s="1"/>
      <c r="Q357" s="1"/>
      <c r="R357" s="1"/>
      <c r="S357" s="1"/>
      <c r="T357" s="1"/>
      <c r="U357" s="1"/>
      <c r="V357" s="1"/>
      <c r="W357" s="1"/>
      <c r="X357" s="1"/>
      <c r="Y357" s="1"/>
      <c r="Z357" s="1"/>
    </row>
    <row r="358" ht="27.0" customHeight="1">
      <c r="A358" s="1"/>
      <c r="B358" s="1"/>
      <c r="C358" s="1"/>
      <c r="D358" s="1"/>
      <c r="E358" s="1"/>
      <c r="F358" s="1"/>
      <c r="G358" s="1"/>
      <c r="H358" s="1"/>
      <c r="I358" s="1"/>
      <c r="J358" s="1"/>
      <c r="K358" s="1"/>
      <c r="L358" s="1"/>
      <c r="M358" s="1"/>
      <c r="N358" s="1"/>
      <c r="O358" s="13"/>
      <c r="P358" s="1"/>
      <c r="Q358" s="1"/>
      <c r="R358" s="1"/>
      <c r="S358" s="1"/>
      <c r="T358" s="1"/>
      <c r="U358" s="1"/>
      <c r="V358" s="1"/>
      <c r="W358" s="1"/>
      <c r="X358" s="1"/>
      <c r="Y358" s="1"/>
      <c r="Z358" s="1"/>
    </row>
    <row r="359" ht="27.0" customHeight="1">
      <c r="A359" s="1"/>
      <c r="B359" s="1"/>
      <c r="C359" s="1"/>
      <c r="D359" s="1"/>
      <c r="E359" s="1"/>
      <c r="F359" s="1"/>
      <c r="G359" s="1"/>
      <c r="H359" s="1"/>
      <c r="I359" s="1"/>
      <c r="J359" s="1"/>
      <c r="K359" s="1"/>
      <c r="L359" s="1"/>
      <c r="M359" s="1"/>
      <c r="N359" s="1"/>
      <c r="O359" s="13"/>
      <c r="P359" s="1"/>
      <c r="Q359" s="1"/>
      <c r="R359" s="1"/>
      <c r="S359" s="1"/>
      <c r="T359" s="1"/>
      <c r="U359" s="1"/>
      <c r="V359" s="1"/>
      <c r="W359" s="1"/>
      <c r="X359" s="1"/>
      <c r="Y359" s="1"/>
      <c r="Z359" s="1"/>
    </row>
    <row r="360" ht="27.0" customHeight="1">
      <c r="A360" s="1"/>
      <c r="B360" s="1"/>
      <c r="C360" s="1"/>
      <c r="D360" s="1"/>
      <c r="E360" s="1"/>
      <c r="F360" s="1"/>
      <c r="G360" s="1"/>
      <c r="H360" s="1"/>
      <c r="I360" s="1"/>
      <c r="J360" s="1"/>
      <c r="K360" s="1"/>
      <c r="L360" s="1"/>
      <c r="M360" s="1"/>
      <c r="N360" s="1"/>
      <c r="O360" s="13"/>
      <c r="P360" s="1"/>
      <c r="Q360" s="1"/>
      <c r="R360" s="1"/>
      <c r="S360" s="1"/>
      <c r="T360" s="1"/>
      <c r="U360" s="1"/>
      <c r="V360" s="1"/>
      <c r="W360" s="1"/>
      <c r="X360" s="1"/>
      <c r="Y360" s="1"/>
      <c r="Z360" s="1"/>
    </row>
    <row r="361" ht="27.0" customHeight="1">
      <c r="A361" s="1"/>
      <c r="B361" s="1"/>
      <c r="C361" s="1"/>
      <c r="D361" s="1"/>
      <c r="E361" s="1"/>
      <c r="F361" s="1"/>
      <c r="G361" s="1"/>
      <c r="H361" s="1"/>
      <c r="I361" s="1"/>
      <c r="J361" s="1"/>
      <c r="K361" s="1"/>
      <c r="L361" s="1"/>
      <c r="M361" s="1"/>
      <c r="N361" s="1"/>
      <c r="O361" s="13"/>
      <c r="P361" s="1"/>
      <c r="Q361" s="1"/>
      <c r="R361" s="1"/>
      <c r="S361" s="1"/>
      <c r="T361" s="1"/>
      <c r="U361" s="1"/>
      <c r="V361" s="1"/>
      <c r="W361" s="1"/>
      <c r="X361" s="1"/>
      <c r="Y361" s="1"/>
      <c r="Z361" s="1"/>
    </row>
    <row r="362" ht="27.0" customHeight="1">
      <c r="A362" s="1"/>
      <c r="B362" s="1"/>
      <c r="C362" s="1"/>
      <c r="D362" s="1"/>
      <c r="E362" s="1"/>
      <c r="F362" s="1"/>
      <c r="G362" s="1"/>
      <c r="H362" s="1"/>
      <c r="I362" s="1"/>
      <c r="J362" s="1"/>
      <c r="K362" s="1"/>
      <c r="L362" s="1"/>
      <c r="M362" s="1"/>
      <c r="N362" s="1"/>
      <c r="O362" s="13"/>
      <c r="P362" s="1"/>
      <c r="Q362" s="1"/>
      <c r="R362" s="1"/>
      <c r="S362" s="1"/>
      <c r="T362" s="1"/>
      <c r="U362" s="1"/>
      <c r="V362" s="1"/>
      <c r="W362" s="1"/>
      <c r="X362" s="1"/>
      <c r="Y362" s="1"/>
      <c r="Z362" s="1"/>
    </row>
    <row r="363" ht="27.0" customHeight="1">
      <c r="A363" s="1"/>
      <c r="B363" s="1"/>
      <c r="C363" s="1"/>
      <c r="D363" s="1"/>
      <c r="E363" s="1"/>
      <c r="F363" s="1"/>
      <c r="G363" s="1"/>
      <c r="H363" s="1"/>
      <c r="I363" s="1"/>
      <c r="J363" s="1"/>
      <c r="K363" s="1"/>
      <c r="L363" s="1"/>
      <c r="M363" s="1"/>
      <c r="N363" s="1"/>
      <c r="O363" s="13"/>
      <c r="P363" s="1"/>
      <c r="Q363" s="1"/>
      <c r="R363" s="1"/>
      <c r="S363" s="1"/>
      <c r="T363" s="1"/>
      <c r="U363" s="1"/>
      <c r="V363" s="1"/>
      <c r="W363" s="1"/>
      <c r="X363" s="1"/>
      <c r="Y363" s="1"/>
      <c r="Z363" s="1"/>
    </row>
    <row r="364" ht="27.0" customHeight="1">
      <c r="A364" s="1"/>
      <c r="B364" s="1"/>
      <c r="C364" s="1"/>
      <c r="D364" s="1"/>
      <c r="E364" s="1"/>
      <c r="F364" s="1"/>
      <c r="G364" s="1"/>
      <c r="H364" s="1"/>
      <c r="I364" s="1"/>
      <c r="J364" s="1"/>
      <c r="K364" s="1"/>
      <c r="L364" s="1"/>
      <c r="M364" s="1"/>
      <c r="N364" s="1"/>
      <c r="O364" s="13"/>
      <c r="P364" s="1"/>
      <c r="Q364" s="1"/>
      <c r="R364" s="1"/>
      <c r="S364" s="1"/>
      <c r="T364" s="1"/>
      <c r="U364" s="1"/>
      <c r="V364" s="1"/>
      <c r="W364" s="1"/>
      <c r="X364" s="1"/>
      <c r="Y364" s="1"/>
      <c r="Z364" s="1"/>
    </row>
    <row r="365" ht="27.0" customHeight="1">
      <c r="A365" s="1"/>
      <c r="B365" s="1"/>
      <c r="C365" s="1"/>
      <c r="D365" s="1"/>
      <c r="E365" s="1"/>
      <c r="F365" s="1"/>
      <c r="G365" s="1"/>
      <c r="H365" s="1"/>
      <c r="I365" s="1"/>
      <c r="J365" s="1"/>
      <c r="K365" s="1"/>
      <c r="L365" s="1"/>
      <c r="M365" s="1"/>
      <c r="N365" s="1"/>
      <c r="O365" s="13"/>
      <c r="P365" s="1"/>
      <c r="Q365" s="1"/>
      <c r="R365" s="1"/>
      <c r="S365" s="1"/>
      <c r="T365" s="1"/>
      <c r="U365" s="1"/>
      <c r="V365" s="1"/>
      <c r="W365" s="1"/>
      <c r="X365" s="1"/>
      <c r="Y365" s="1"/>
      <c r="Z365" s="1"/>
    </row>
    <row r="366" ht="27.0" customHeight="1">
      <c r="A366" s="1"/>
      <c r="B366" s="1"/>
      <c r="C366" s="1"/>
      <c r="D366" s="1"/>
      <c r="E366" s="1"/>
      <c r="F366" s="1"/>
      <c r="G366" s="1"/>
      <c r="H366" s="1"/>
      <c r="I366" s="1"/>
      <c r="J366" s="1"/>
      <c r="K366" s="1"/>
      <c r="L366" s="1"/>
      <c r="M366" s="1"/>
      <c r="N366" s="1"/>
      <c r="O366" s="13"/>
      <c r="P366" s="1"/>
      <c r="Q366" s="1"/>
      <c r="R366" s="1"/>
      <c r="S366" s="1"/>
      <c r="T366" s="1"/>
      <c r="U366" s="1"/>
      <c r="V366" s="1"/>
      <c r="W366" s="1"/>
      <c r="X366" s="1"/>
      <c r="Y366" s="1"/>
      <c r="Z366" s="1"/>
    </row>
    <row r="367" ht="27.0" customHeight="1">
      <c r="A367" s="1"/>
      <c r="B367" s="1"/>
      <c r="C367" s="1"/>
      <c r="D367" s="1"/>
      <c r="E367" s="1"/>
      <c r="F367" s="1"/>
      <c r="G367" s="1"/>
      <c r="H367" s="1"/>
      <c r="I367" s="1"/>
      <c r="J367" s="1"/>
      <c r="K367" s="1"/>
      <c r="L367" s="1"/>
      <c r="M367" s="1"/>
      <c r="N367" s="1"/>
      <c r="O367" s="13"/>
      <c r="P367" s="1"/>
      <c r="Q367" s="1"/>
      <c r="R367" s="1"/>
      <c r="S367" s="1"/>
      <c r="T367" s="1"/>
      <c r="U367" s="1"/>
      <c r="V367" s="1"/>
      <c r="W367" s="1"/>
      <c r="X367" s="1"/>
      <c r="Y367" s="1"/>
      <c r="Z367" s="1"/>
    </row>
    <row r="368" ht="27.0" customHeight="1">
      <c r="A368" s="1"/>
      <c r="B368" s="1"/>
      <c r="C368" s="1"/>
      <c r="D368" s="1"/>
      <c r="E368" s="1"/>
      <c r="F368" s="1"/>
      <c r="G368" s="1"/>
      <c r="H368" s="1"/>
      <c r="I368" s="1"/>
      <c r="J368" s="1"/>
      <c r="K368" s="1"/>
      <c r="L368" s="1"/>
      <c r="M368" s="1"/>
      <c r="N368" s="1"/>
      <c r="O368" s="13"/>
      <c r="P368" s="1"/>
      <c r="Q368" s="1"/>
      <c r="R368" s="1"/>
      <c r="S368" s="1"/>
      <c r="T368" s="1"/>
      <c r="U368" s="1"/>
      <c r="V368" s="1"/>
      <c r="W368" s="1"/>
      <c r="X368" s="1"/>
      <c r="Y368" s="1"/>
      <c r="Z368" s="1"/>
    </row>
    <row r="369" ht="27.0" customHeight="1">
      <c r="A369" s="1"/>
      <c r="B369" s="1"/>
      <c r="C369" s="1"/>
      <c r="D369" s="1"/>
      <c r="E369" s="1"/>
      <c r="F369" s="1"/>
      <c r="G369" s="1"/>
      <c r="H369" s="1"/>
      <c r="I369" s="1"/>
      <c r="J369" s="1"/>
      <c r="K369" s="1"/>
      <c r="L369" s="1"/>
      <c r="M369" s="1"/>
      <c r="N369" s="1"/>
      <c r="O369" s="13"/>
      <c r="P369" s="1"/>
      <c r="Q369" s="1"/>
      <c r="R369" s="1"/>
      <c r="S369" s="1"/>
      <c r="T369" s="1"/>
      <c r="U369" s="1"/>
      <c r="V369" s="1"/>
      <c r="W369" s="1"/>
      <c r="X369" s="1"/>
      <c r="Y369" s="1"/>
      <c r="Z369" s="1"/>
    </row>
    <row r="370" ht="27.0" customHeight="1">
      <c r="A370" s="1"/>
      <c r="B370" s="1"/>
      <c r="C370" s="1"/>
      <c r="D370" s="1"/>
      <c r="E370" s="1"/>
      <c r="F370" s="1"/>
      <c r="G370" s="1"/>
      <c r="H370" s="1"/>
      <c r="I370" s="1"/>
      <c r="J370" s="1"/>
      <c r="K370" s="1"/>
      <c r="L370" s="1"/>
      <c r="M370" s="1"/>
      <c r="N370" s="1"/>
      <c r="O370" s="13"/>
      <c r="P370" s="1"/>
      <c r="Q370" s="1"/>
      <c r="R370" s="1"/>
      <c r="S370" s="1"/>
      <c r="T370" s="1"/>
      <c r="U370" s="1"/>
      <c r="V370" s="1"/>
      <c r="W370" s="1"/>
      <c r="X370" s="1"/>
      <c r="Y370" s="1"/>
      <c r="Z370" s="1"/>
    </row>
    <row r="371" ht="27.0" customHeight="1">
      <c r="A371" s="1"/>
      <c r="B371" s="1"/>
      <c r="C371" s="1"/>
      <c r="D371" s="1"/>
      <c r="E371" s="1"/>
      <c r="F371" s="1"/>
      <c r="G371" s="1"/>
      <c r="H371" s="1"/>
      <c r="I371" s="1"/>
      <c r="J371" s="1"/>
      <c r="K371" s="1"/>
      <c r="L371" s="1"/>
      <c r="M371" s="1"/>
      <c r="N371" s="1"/>
      <c r="O371" s="13"/>
      <c r="P371" s="1"/>
      <c r="Q371" s="1"/>
      <c r="R371" s="1"/>
      <c r="S371" s="1"/>
      <c r="T371" s="1"/>
      <c r="U371" s="1"/>
      <c r="V371" s="1"/>
      <c r="W371" s="1"/>
      <c r="X371" s="1"/>
      <c r="Y371" s="1"/>
      <c r="Z371" s="1"/>
    </row>
    <row r="372" ht="27.0" customHeight="1">
      <c r="A372" s="1"/>
      <c r="B372" s="1"/>
      <c r="C372" s="1"/>
      <c r="D372" s="1"/>
      <c r="E372" s="1"/>
      <c r="F372" s="1"/>
      <c r="G372" s="1"/>
      <c r="H372" s="1"/>
      <c r="I372" s="1"/>
      <c r="J372" s="1"/>
      <c r="K372" s="1"/>
      <c r="L372" s="1"/>
      <c r="M372" s="1"/>
      <c r="N372" s="1"/>
      <c r="O372" s="13"/>
      <c r="P372" s="1"/>
      <c r="Q372" s="1"/>
      <c r="R372" s="1"/>
      <c r="S372" s="1"/>
      <c r="T372" s="1"/>
      <c r="U372" s="1"/>
      <c r="V372" s="1"/>
      <c r="W372" s="1"/>
      <c r="X372" s="1"/>
      <c r="Y372" s="1"/>
      <c r="Z372" s="1"/>
    </row>
    <row r="373" ht="27.0" customHeight="1">
      <c r="A373" s="1"/>
      <c r="B373" s="1"/>
      <c r="C373" s="1"/>
      <c r="D373" s="1"/>
      <c r="E373" s="1"/>
      <c r="F373" s="1"/>
      <c r="G373" s="1"/>
      <c r="H373" s="1"/>
      <c r="I373" s="1"/>
      <c r="J373" s="1"/>
      <c r="K373" s="1"/>
      <c r="L373" s="1"/>
      <c r="M373" s="1"/>
      <c r="N373" s="1"/>
      <c r="O373" s="13"/>
      <c r="P373" s="1"/>
      <c r="Q373" s="1"/>
      <c r="R373" s="1"/>
      <c r="S373" s="1"/>
      <c r="T373" s="1"/>
      <c r="U373" s="1"/>
      <c r="V373" s="1"/>
      <c r="W373" s="1"/>
      <c r="X373" s="1"/>
      <c r="Y373" s="1"/>
      <c r="Z373" s="1"/>
    </row>
    <row r="374" ht="27.0" customHeight="1">
      <c r="A374" s="1"/>
      <c r="B374" s="1"/>
      <c r="C374" s="1"/>
      <c r="D374" s="1"/>
      <c r="E374" s="1"/>
      <c r="F374" s="1"/>
      <c r="G374" s="1"/>
      <c r="H374" s="1"/>
      <c r="I374" s="1"/>
      <c r="J374" s="1"/>
      <c r="K374" s="1"/>
      <c r="L374" s="1"/>
      <c r="M374" s="1"/>
      <c r="N374" s="1"/>
      <c r="O374" s="13"/>
      <c r="P374" s="1"/>
      <c r="Q374" s="1"/>
      <c r="R374" s="1"/>
      <c r="S374" s="1"/>
      <c r="T374" s="1"/>
      <c r="U374" s="1"/>
      <c r="V374" s="1"/>
      <c r="W374" s="1"/>
      <c r="X374" s="1"/>
      <c r="Y374" s="1"/>
      <c r="Z374" s="1"/>
    </row>
    <row r="375" ht="27.0" customHeight="1">
      <c r="A375" s="1"/>
      <c r="B375" s="1"/>
      <c r="C375" s="18"/>
      <c r="D375" s="1"/>
      <c r="E375" s="1"/>
      <c r="F375" s="1"/>
      <c r="G375" s="1"/>
      <c r="H375" s="1"/>
      <c r="I375" s="1"/>
      <c r="J375" s="1"/>
      <c r="K375" s="1"/>
      <c r="L375" s="1"/>
      <c r="M375" s="1"/>
      <c r="N375" s="1"/>
      <c r="O375" s="13"/>
      <c r="P375" s="1"/>
      <c r="Q375" s="1"/>
      <c r="R375" s="1"/>
      <c r="S375" s="1"/>
      <c r="T375" s="1"/>
      <c r="U375" s="1"/>
      <c r="V375" s="1"/>
      <c r="W375" s="1"/>
      <c r="X375" s="1"/>
      <c r="Y375" s="1"/>
      <c r="Z375" s="1"/>
    </row>
    <row r="376" ht="27.0" customHeight="1">
      <c r="A376" s="1"/>
      <c r="B376" s="1"/>
      <c r="C376" s="18"/>
      <c r="D376" s="1"/>
      <c r="E376" s="1"/>
      <c r="F376" s="1"/>
      <c r="G376" s="1"/>
      <c r="H376" s="1"/>
      <c r="I376" s="1"/>
      <c r="J376" s="1"/>
      <c r="K376" s="1"/>
      <c r="L376" s="1"/>
      <c r="M376" s="1"/>
      <c r="N376" s="1"/>
      <c r="O376" s="13"/>
      <c r="P376" s="1"/>
      <c r="Q376" s="1"/>
      <c r="R376" s="1"/>
      <c r="S376" s="1"/>
      <c r="T376" s="1"/>
      <c r="U376" s="1"/>
      <c r="V376" s="1"/>
      <c r="W376" s="1"/>
      <c r="X376" s="1"/>
      <c r="Y376" s="1"/>
      <c r="Z376" s="1"/>
    </row>
    <row r="377" ht="27.0" customHeight="1">
      <c r="A377" s="1"/>
      <c r="B377" s="1"/>
      <c r="C377" s="18"/>
      <c r="D377" s="1"/>
      <c r="E377" s="1"/>
      <c r="F377" s="1"/>
      <c r="G377" s="1"/>
      <c r="H377" s="1"/>
      <c r="I377" s="1"/>
      <c r="J377" s="1"/>
      <c r="K377" s="1"/>
      <c r="L377" s="1"/>
      <c r="M377" s="1"/>
      <c r="N377" s="1"/>
      <c r="O377" s="13"/>
      <c r="P377" s="1"/>
      <c r="Q377" s="1"/>
      <c r="R377" s="1"/>
      <c r="S377" s="1"/>
      <c r="T377" s="1"/>
      <c r="U377" s="1"/>
      <c r="V377" s="1"/>
      <c r="W377" s="1"/>
      <c r="X377" s="1"/>
      <c r="Y377" s="1"/>
      <c r="Z377" s="1"/>
    </row>
    <row r="378" ht="27.0" customHeight="1">
      <c r="A378" s="1"/>
      <c r="B378" s="1"/>
      <c r="C378" s="18"/>
      <c r="D378" s="1"/>
      <c r="E378" s="1"/>
      <c r="F378" s="1"/>
      <c r="G378" s="1"/>
      <c r="H378" s="1"/>
      <c r="I378" s="1"/>
      <c r="J378" s="1"/>
      <c r="K378" s="1"/>
      <c r="L378" s="1"/>
      <c r="M378" s="1"/>
      <c r="N378" s="1"/>
      <c r="O378" s="13"/>
      <c r="P378" s="1"/>
      <c r="Q378" s="1"/>
      <c r="R378" s="1"/>
      <c r="S378" s="1"/>
      <c r="T378" s="1"/>
      <c r="U378" s="1"/>
      <c r="V378" s="1"/>
      <c r="W378" s="1"/>
      <c r="X378" s="1"/>
      <c r="Y378" s="1"/>
      <c r="Z378" s="1"/>
    </row>
    <row r="379" ht="27.0" customHeight="1">
      <c r="A379" s="1"/>
      <c r="B379" s="1"/>
      <c r="C379" s="18"/>
      <c r="D379" s="1"/>
      <c r="E379" s="1"/>
      <c r="F379" s="1"/>
      <c r="G379" s="1"/>
      <c r="H379" s="1"/>
      <c r="I379" s="1"/>
      <c r="J379" s="1"/>
      <c r="K379" s="1"/>
      <c r="L379" s="1"/>
      <c r="M379" s="1"/>
      <c r="N379" s="1"/>
      <c r="O379" s="13"/>
      <c r="P379" s="1"/>
      <c r="Q379" s="1"/>
      <c r="R379" s="1"/>
      <c r="S379" s="1"/>
      <c r="T379" s="1"/>
      <c r="U379" s="1"/>
      <c r="V379" s="1"/>
      <c r="W379" s="1"/>
      <c r="X379" s="1"/>
      <c r="Y379" s="1"/>
      <c r="Z379" s="1"/>
    </row>
    <row r="380" ht="27.0" customHeight="1">
      <c r="A380" s="1"/>
      <c r="B380" s="1"/>
      <c r="C380" s="18"/>
      <c r="D380" s="1"/>
      <c r="E380" s="1"/>
      <c r="F380" s="1"/>
      <c r="G380" s="1"/>
      <c r="H380" s="1"/>
      <c r="I380" s="1"/>
      <c r="J380" s="1"/>
      <c r="K380" s="1"/>
      <c r="L380" s="1"/>
      <c r="M380" s="1"/>
      <c r="N380" s="1"/>
      <c r="O380" s="13"/>
      <c r="P380" s="1"/>
      <c r="Q380" s="1"/>
      <c r="R380" s="1"/>
      <c r="S380" s="1"/>
      <c r="T380" s="1"/>
      <c r="U380" s="1"/>
      <c r="V380" s="1"/>
      <c r="W380" s="1"/>
      <c r="X380" s="1"/>
      <c r="Y380" s="1"/>
      <c r="Z380" s="1"/>
    </row>
    <row r="381" ht="27.0" customHeight="1">
      <c r="A381" s="1"/>
      <c r="B381" s="1"/>
      <c r="C381" s="18"/>
      <c r="D381" s="1"/>
      <c r="E381" s="1"/>
      <c r="F381" s="1"/>
      <c r="G381" s="1"/>
      <c r="H381" s="1"/>
      <c r="I381" s="1"/>
      <c r="J381" s="1"/>
      <c r="K381" s="1"/>
      <c r="L381" s="1"/>
      <c r="M381" s="1"/>
      <c r="N381" s="1"/>
      <c r="O381" s="13"/>
      <c r="P381" s="1"/>
      <c r="Q381" s="1"/>
      <c r="R381" s="1"/>
      <c r="S381" s="1"/>
      <c r="T381" s="1"/>
      <c r="U381" s="1"/>
      <c r="V381" s="1"/>
      <c r="W381" s="1"/>
      <c r="X381" s="1"/>
      <c r="Y381" s="1"/>
      <c r="Z381" s="1"/>
    </row>
    <row r="382" ht="27.0" customHeight="1">
      <c r="A382" s="1"/>
      <c r="B382" s="1"/>
      <c r="C382" s="18"/>
      <c r="D382" s="1"/>
      <c r="E382" s="1"/>
      <c r="F382" s="1"/>
      <c r="G382" s="1"/>
      <c r="H382" s="1"/>
      <c r="I382" s="1"/>
      <c r="J382" s="1"/>
      <c r="K382" s="1"/>
      <c r="L382" s="1"/>
      <c r="M382" s="1"/>
      <c r="N382" s="1"/>
      <c r="O382" s="13"/>
      <c r="P382" s="1"/>
      <c r="Q382" s="1"/>
      <c r="R382" s="1"/>
      <c r="S382" s="1"/>
      <c r="T382" s="1"/>
      <c r="U382" s="1"/>
      <c r="V382" s="1"/>
      <c r="W382" s="1"/>
      <c r="X382" s="1"/>
      <c r="Y382" s="1"/>
      <c r="Z382" s="1"/>
    </row>
    <row r="383" ht="27.0" customHeight="1">
      <c r="A383" s="1"/>
      <c r="B383" s="1"/>
      <c r="C383" s="18"/>
      <c r="D383" s="1"/>
      <c r="E383" s="1"/>
      <c r="F383" s="1"/>
      <c r="G383" s="1"/>
      <c r="H383" s="1"/>
      <c r="I383" s="1"/>
      <c r="J383" s="1"/>
      <c r="K383" s="1"/>
      <c r="L383" s="1"/>
      <c r="M383" s="1"/>
      <c r="N383" s="1"/>
      <c r="O383" s="13"/>
      <c r="P383" s="1"/>
      <c r="Q383" s="1"/>
      <c r="R383" s="1"/>
      <c r="S383" s="1"/>
      <c r="T383" s="1"/>
      <c r="U383" s="1"/>
      <c r="V383" s="1"/>
      <c r="W383" s="1"/>
      <c r="X383" s="1"/>
      <c r="Y383" s="1"/>
      <c r="Z383" s="1"/>
    </row>
    <row r="384" ht="27.0" customHeight="1">
      <c r="A384" s="1"/>
      <c r="B384" s="1"/>
      <c r="C384" s="18"/>
      <c r="D384" s="1"/>
      <c r="E384" s="1"/>
      <c r="F384" s="1"/>
      <c r="G384" s="1"/>
      <c r="H384" s="1"/>
      <c r="I384" s="1"/>
      <c r="J384" s="1"/>
      <c r="K384" s="1"/>
      <c r="L384" s="1"/>
      <c r="M384" s="1"/>
      <c r="N384" s="1"/>
      <c r="O384" s="13"/>
      <c r="P384" s="1"/>
      <c r="Q384" s="1"/>
      <c r="R384" s="1"/>
      <c r="S384" s="1"/>
      <c r="T384" s="1"/>
      <c r="U384" s="1"/>
      <c r="V384" s="1"/>
      <c r="W384" s="1"/>
      <c r="X384" s="1"/>
      <c r="Y384" s="1"/>
      <c r="Z384" s="1"/>
    </row>
    <row r="385" ht="27.0" customHeight="1">
      <c r="A385" s="1"/>
      <c r="B385" s="1"/>
      <c r="C385" s="18"/>
      <c r="D385" s="1"/>
      <c r="E385" s="1"/>
      <c r="F385" s="1"/>
      <c r="G385" s="1"/>
      <c r="H385" s="1"/>
      <c r="I385" s="1"/>
      <c r="J385" s="1"/>
      <c r="K385" s="1"/>
      <c r="L385" s="1"/>
      <c r="M385" s="1"/>
      <c r="N385" s="1"/>
      <c r="O385" s="13"/>
      <c r="P385" s="1"/>
      <c r="Q385" s="1"/>
      <c r="R385" s="1"/>
      <c r="S385" s="1"/>
      <c r="T385" s="1"/>
      <c r="U385" s="1"/>
      <c r="V385" s="1"/>
      <c r="W385" s="1"/>
      <c r="X385" s="1"/>
      <c r="Y385" s="1"/>
      <c r="Z385" s="1"/>
    </row>
    <row r="386" ht="27.0" customHeight="1">
      <c r="A386" s="1"/>
      <c r="B386" s="1"/>
      <c r="C386" s="18"/>
      <c r="D386" s="1"/>
      <c r="E386" s="1"/>
      <c r="F386" s="1"/>
      <c r="G386" s="1"/>
      <c r="H386" s="1"/>
      <c r="I386" s="1"/>
      <c r="J386" s="1"/>
      <c r="K386" s="1"/>
      <c r="L386" s="1"/>
      <c r="M386" s="1"/>
      <c r="N386" s="1"/>
      <c r="O386" s="13"/>
      <c r="P386" s="1"/>
      <c r="Q386" s="1"/>
      <c r="R386" s="1"/>
      <c r="S386" s="1"/>
      <c r="T386" s="1"/>
      <c r="U386" s="1"/>
      <c r="V386" s="1"/>
      <c r="W386" s="1"/>
      <c r="X386" s="1"/>
      <c r="Y386" s="1"/>
      <c r="Z386" s="1"/>
    </row>
    <row r="387" ht="27.0" customHeight="1">
      <c r="A387" s="1"/>
      <c r="B387" s="1"/>
      <c r="C387" s="18"/>
      <c r="D387" s="1"/>
      <c r="E387" s="1"/>
      <c r="F387" s="1"/>
      <c r="G387" s="1"/>
      <c r="H387" s="1"/>
      <c r="I387" s="1"/>
      <c r="J387" s="1"/>
      <c r="K387" s="1"/>
      <c r="L387" s="1"/>
      <c r="M387" s="1"/>
      <c r="N387" s="1"/>
      <c r="O387" s="13"/>
      <c r="P387" s="1"/>
      <c r="Q387" s="1"/>
      <c r="R387" s="1"/>
      <c r="S387" s="1"/>
      <c r="T387" s="1"/>
      <c r="U387" s="1"/>
      <c r="V387" s="1"/>
      <c r="W387" s="1"/>
      <c r="X387" s="1"/>
      <c r="Y387" s="1"/>
      <c r="Z387" s="1"/>
    </row>
    <row r="388" ht="27.0" customHeight="1">
      <c r="A388" s="1"/>
      <c r="B388" s="1"/>
      <c r="C388" s="18"/>
      <c r="D388" s="1"/>
      <c r="E388" s="1"/>
      <c r="F388" s="1"/>
      <c r="G388" s="1"/>
      <c r="H388" s="1"/>
      <c r="I388" s="1"/>
      <c r="J388" s="1"/>
      <c r="K388" s="1"/>
      <c r="L388" s="1"/>
      <c r="M388" s="1"/>
      <c r="N388" s="1"/>
      <c r="O388" s="13"/>
      <c r="P388" s="1"/>
      <c r="Q388" s="1"/>
      <c r="R388" s="1"/>
      <c r="S388" s="1"/>
      <c r="T388" s="1"/>
      <c r="U388" s="1"/>
      <c r="V388" s="1"/>
      <c r="W388" s="1"/>
      <c r="X388" s="1"/>
      <c r="Y388" s="1"/>
      <c r="Z388" s="1"/>
    </row>
    <row r="389" ht="27.0" customHeight="1">
      <c r="A389" s="1"/>
      <c r="B389" s="1"/>
      <c r="C389" s="18"/>
      <c r="D389" s="1"/>
      <c r="E389" s="1"/>
      <c r="F389" s="1"/>
      <c r="G389" s="1"/>
      <c r="H389" s="1"/>
      <c r="I389" s="1"/>
      <c r="J389" s="1"/>
      <c r="K389" s="1"/>
      <c r="L389" s="1"/>
      <c r="M389" s="1"/>
      <c r="N389" s="1"/>
      <c r="O389" s="13"/>
      <c r="P389" s="1"/>
      <c r="Q389" s="1"/>
      <c r="R389" s="1"/>
      <c r="S389" s="1"/>
      <c r="T389" s="1"/>
      <c r="U389" s="1"/>
      <c r="V389" s="1"/>
      <c r="W389" s="1"/>
      <c r="X389" s="1"/>
      <c r="Y389" s="1"/>
      <c r="Z389" s="1"/>
    </row>
    <row r="390" ht="27.0" customHeight="1">
      <c r="A390" s="1"/>
      <c r="B390" s="1"/>
      <c r="C390" s="18"/>
      <c r="D390" s="1"/>
      <c r="E390" s="1"/>
      <c r="F390" s="1"/>
      <c r="G390" s="1"/>
      <c r="H390" s="1"/>
      <c r="I390" s="1"/>
      <c r="J390" s="1"/>
      <c r="K390" s="1"/>
      <c r="L390" s="1"/>
      <c r="M390" s="1"/>
      <c r="N390" s="1"/>
      <c r="O390" s="13"/>
      <c r="P390" s="1"/>
      <c r="Q390" s="1"/>
      <c r="R390" s="1"/>
      <c r="S390" s="1"/>
      <c r="T390" s="1"/>
      <c r="U390" s="1"/>
      <c r="V390" s="1"/>
      <c r="W390" s="1"/>
      <c r="X390" s="1"/>
      <c r="Y390" s="1"/>
      <c r="Z390" s="1"/>
    </row>
    <row r="391" ht="27.0" customHeight="1">
      <c r="A391" s="1"/>
      <c r="B391" s="1"/>
      <c r="C391" s="18"/>
      <c r="D391" s="1"/>
      <c r="E391" s="1"/>
      <c r="F391" s="1"/>
      <c r="G391" s="1"/>
      <c r="H391" s="1"/>
      <c r="I391" s="1"/>
      <c r="J391" s="1"/>
      <c r="K391" s="1"/>
      <c r="L391" s="1"/>
      <c r="M391" s="1"/>
      <c r="N391" s="1"/>
      <c r="O391" s="13"/>
      <c r="P391" s="1"/>
      <c r="Q391" s="1"/>
      <c r="R391" s="1"/>
      <c r="S391" s="1"/>
      <c r="T391" s="1"/>
      <c r="U391" s="1"/>
      <c r="V391" s="1"/>
      <c r="W391" s="1"/>
      <c r="X391" s="1"/>
      <c r="Y391" s="1"/>
      <c r="Z391" s="1"/>
    </row>
    <row r="392" ht="27.0" customHeight="1">
      <c r="A392" s="1"/>
      <c r="B392" s="1"/>
      <c r="C392" s="18"/>
      <c r="D392" s="1"/>
      <c r="E392" s="1"/>
      <c r="F392" s="1"/>
      <c r="G392" s="1"/>
      <c r="H392" s="1"/>
      <c r="I392" s="1"/>
      <c r="J392" s="1"/>
      <c r="K392" s="1"/>
      <c r="L392" s="1"/>
      <c r="M392" s="1"/>
      <c r="N392" s="1"/>
      <c r="O392" s="13"/>
      <c r="P392" s="1"/>
      <c r="Q392" s="1"/>
      <c r="R392" s="1"/>
      <c r="S392" s="1"/>
      <c r="T392" s="1"/>
      <c r="U392" s="1"/>
      <c r="V392" s="1"/>
      <c r="W392" s="1"/>
      <c r="X392" s="1"/>
      <c r="Y392" s="1"/>
      <c r="Z392" s="1"/>
    </row>
    <row r="393" ht="27.0" customHeight="1">
      <c r="A393" s="1"/>
      <c r="B393" s="1"/>
      <c r="C393" s="18"/>
      <c r="D393" s="1"/>
      <c r="E393" s="1"/>
      <c r="F393" s="1"/>
      <c r="G393" s="1"/>
      <c r="H393" s="1"/>
      <c r="I393" s="1"/>
      <c r="J393" s="1"/>
      <c r="K393" s="1"/>
      <c r="L393" s="1"/>
      <c r="M393" s="1"/>
      <c r="N393" s="1"/>
      <c r="O393" s="13"/>
      <c r="P393" s="1"/>
      <c r="Q393" s="1"/>
      <c r="R393" s="1"/>
      <c r="S393" s="1"/>
      <c r="T393" s="1"/>
      <c r="U393" s="1"/>
      <c r="V393" s="1"/>
      <c r="W393" s="1"/>
      <c r="X393" s="1"/>
      <c r="Y393" s="1"/>
      <c r="Z393" s="1"/>
    </row>
    <row r="394" ht="27.0" customHeight="1">
      <c r="A394" s="1"/>
      <c r="B394" s="1"/>
      <c r="C394" s="18"/>
      <c r="D394" s="1"/>
      <c r="E394" s="1"/>
      <c r="F394" s="1"/>
      <c r="G394" s="1"/>
      <c r="H394" s="1"/>
      <c r="I394" s="1"/>
      <c r="J394" s="1"/>
      <c r="K394" s="1"/>
      <c r="L394" s="1"/>
      <c r="M394" s="1"/>
      <c r="N394" s="1"/>
      <c r="O394" s="13"/>
      <c r="P394" s="1"/>
      <c r="Q394" s="1"/>
      <c r="R394" s="1"/>
      <c r="S394" s="1"/>
      <c r="T394" s="1"/>
      <c r="U394" s="1"/>
      <c r="V394" s="1"/>
      <c r="W394" s="1"/>
      <c r="X394" s="1"/>
      <c r="Y394" s="1"/>
      <c r="Z394" s="1"/>
    </row>
    <row r="395" ht="27.0" customHeight="1">
      <c r="A395" s="1"/>
      <c r="B395" s="1"/>
      <c r="C395" s="18"/>
      <c r="D395" s="1"/>
      <c r="E395" s="1"/>
      <c r="F395" s="1"/>
      <c r="G395" s="1"/>
      <c r="H395" s="1"/>
      <c r="I395" s="1"/>
      <c r="J395" s="1"/>
      <c r="K395" s="1"/>
      <c r="L395" s="1"/>
      <c r="M395" s="1"/>
      <c r="N395" s="1"/>
      <c r="O395" s="13"/>
      <c r="P395" s="1"/>
      <c r="Q395" s="1"/>
      <c r="R395" s="1"/>
      <c r="S395" s="1"/>
      <c r="T395" s="1"/>
      <c r="U395" s="1"/>
      <c r="V395" s="1"/>
      <c r="W395" s="1"/>
      <c r="X395" s="1"/>
      <c r="Y395" s="1"/>
      <c r="Z395" s="1"/>
    </row>
    <row r="396" ht="27.0" customHeight="1">
      <c r="A396" s="1"/>
      <c r="B396" s="1"/>
      <c r="C396" s="18"/>
      <c r="D396" s="1"/>
      <c r="E396" s="1"/>
      <c r="F396" s="1"/>
      <c r="G396" s="1"/>
      <c r="H396" s="1"/>
      <c r="I396" s="1"/>
      <c r="J396" s="1"/>
      <c r="K396" s="1"/>
      <c r="L396" s="1"/>
      <c r="M396" s="1"/>
      <c r="N396" s="1"/>
      <c r="O396" s="13"/>
      <c r="P396" s="1"/>
      <c r="Q396" s="1"/>
      <c r="R396" s="1"/>
      <c r="S396" s="1"/>
      <c r="T396" s="1"/>
      <c r="U396" s="1"/>
      <c r="V396" s="1"/>
      <c r="W396" s="1"/>
      <c r="X396" s="1"/>
      <c r="Y396" s="1"/>
      <c r="Z396" s="1"/>
    </row>
    <row r="397" ht="27.0" customHeight="1">
      <c r="A397" s="1"/>
      <c r="B397" s="1"/>
      <c r="C397" s="18"/>
      <c r="D397" s="1"/>
      <c r="E397" s="1"/>
      <c r="F397" s="1"/>
      <c r="G397" s="1"/>
      <c r="H397" s="1"/>
      <c r="I397" s="1"/>
      <c r="J397" s="1"/>
      <c r="K397" s="1"/>
      <c r="L397" s="1"/>
      <c r="M397" s="1"/>
      <c r="N397" s="1"/>
      <c r="O397" s="13"/>
      <c r="P397" s="1"/>
      <c r="Q397" s="1"/>
      <c r="R397" s="1"/>
      <c r="S397" s="1"/>
      <c r="T397" s="1"/>
      <c r="U397" s="1"/>
      <c r="V397" s="1"/>
      <c r="W397" s="1"/>
      <c r="X397" s="1"/>
      <c r="Y397" s="1"/>
      <c r="Z397" s="1"/>
    </row>
    <row r="398" ht="27.0" customHeight="1">
      <c r="A398" s="1"/>
      <c r="B398" s="1"/>
      <c r="C398" s="18"/>
      <c r="D398" s="1"/>
      <c r="E398" s="1"/>
      <c r="F398" s="1"/>
      <c r="G398" s="1"/>
      <c r="H398" s="1"/>
      <c r="I398" s="1"/>
      <c r="J398" s="1"/>
      <c r="K398" s="1"/>
      <c r="L398" s="1"/>
      <c r="M398" s="1"/>
      <c r="N398" s="1"/>
      <c r="O398" s="13"/>
      <c r="P398" s="1"/>
      <c r="Q398" s="1"/>
      <c r="R398" s="1"/>
      <c r="S398" s="1"/>
      <c r="T398" s="1"/>
      <c r="U398" s="1"/>
      <c r="V398" s="1"/>
      <c r="W398" s="1"/>
      <c r="X398" s="1"/>
      <c r="Y398" s="1"/>
      <c r="Z398" s="1"/>
    </row>
    <row r="399" ht="27.0" customHeight="1">
      <c r="A399" s="1"/>
      <c r="B399" s="1"/>
      <c r="C399" s="18"/>
      <c r="D399" s="1"/>
      <c r="E399" s="1"/>
      <c r="F399" s="1"/>
      <c r="G399" s="1"/>
      <c r="H399" s="1"/>
      <c r="I399" s="1"/>
      <c r="J399" s="1"/>
      <c r="K399" s="1"/>
      <c r="L399" s="1"/>
      <c r="M399" s="1"/>
      <c r="N399" s="1"/>
      <c r="O399" s="13"/>
      <c r="P399" s="1"/>
      <c r="Q399" s="1"/>
      <c r="R399" s="1"/>
      <c r="S399" s="1"/>
      <c r="T399" s="1"/>
      <c r="U399" s="1"/>
      <c r="V399" s="1"/>
      <c r="W399" s="1"/>
      <c r="X399" s="1"/>
      <c r="Y399" s="1"/>
      <c r="Z399" s="1"/>
    </row>
    <row r="400" ht="27.0" customHeight="1">
      <c r="A400" s="1"/>
      <c r="B400" s="1"/>
      <c r="C400" s="18"/>
      <c r="D400" s="1"/>
      <c r="E400" s="1"/>
      <c r="F400" s="1"/>
      <c r="G400" s="1"/>
      <c r="H400" s="1"/>
      <c r="I400" s="1"/>
      <c r="J400" s="1"/>
      <c r="K400" s="1"/>
      <c r="L400" s="1"/>
      <c r="M400" s="1"/>
      <c r="N400" s="1"/>
      <c r="O400" s="13"/>
      <c r="P400" s="1"/>
      <c r="Q400" s="1"/>
      <c r="R400" s="1"/>
      <c r="S400" s="1"/>
      <c r="T400" s="1"/>
      <c r="U400" s="1"/>
      <c r="V400" s="1"/>
      <c r="W400" s="1"/>
      <c r="X400" s="1"/>
      <c r="Y400" s="1"/>
      <c r="Z400" s="1"/>
    </row>
    <row r="401" ht="27.0" customHeight="1">
      <c r="A401" s="1"/>
      <c r="B401" s="1"/>
      <c r="C401" s="18"/>
      <c r="D401" s="1"/>
      <c r="E401" s="1"/>
      <c r="F401" s="1"/>
      <c r="G401" s="1"/>
      <c r="H401" s="1"/>
      <c r="I401" s="1"/>
      <c r="J401" s="1"/>
      <c r="K401" s="1"/>
      <c r="L401" s="1"/>
      <c r="M401" s="1"/>
      <c r="N401" s="1"/>
      <c r="O401" s="13"/>
      <c r="P401" s="1"/>
      <c r="Q401" s="1"/>
      <c r="R401" s="1"/>
      <c r="S401" s="1"/>
      <c r="T401" s="1"/>
      <c r="U401" s="1"/>
      <c r="V401" s="1"/>
      <c r="W401" s="1"/>
      <c r="X401" s="1"/>
      <c r="Y401" s="1"/>
      <c r="Z401" s="1"/>
    </row>
    <row r="402" ht="27.0" customHeight="1">
      <c r="A402" s="1"/>
      <c r="B402" s="1"/>
      <c r="C402" s="18"/>
      <c r="D402" s="1"/>
      <c r="E402" s="1"/>
      <c r="F402" s="1"/>
      <c r="G402" s="1"/>
      <c r="H402" s="1"/>
      <c r="I402" s="1"/>
      <c r="J402" s="1"/>
      <c r="K402" s="1"/>
      <c r="L402" s="1"/>
      <c r="M402" s="1"/>
      <c r="N402" s="1"/>
      <c r="O402" s="13"/>
      <c r="P402" s="1"/>
      <c r="Q402" s="1"/>
      <c r="R402" s="1"/>
      <c r="S402" s="1"/>
      <c r="T402" s="1"/>
      <c r="U402" s="1"/>
      <c r="V402" s="1"/>
      <c r="W402" s="1"/>
      <c r="X402" s="1"/>
      <c r="Y402" s="1"/>
      <c r="Z402" s="1"/>
    </row>
    <row r="403" ht="15.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ht="15.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ht="15.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ht="15.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ht="15.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ht="15.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ht="15.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ht="15.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ht="15.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ht="15.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ht="15.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ht="15.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ht="15.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ht="15.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ht="15.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ht="15.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ht="15.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ht="15.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ht="15.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ht="15.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ht="15.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ht="15.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ht="15.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ht="15.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ht="15.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ht="15.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ht="15.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ht="15.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ht="15.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ht="15.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ht="15.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ht="15.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ht="15.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ht="15.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ht="15.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ht="15.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ht="15.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ht="15.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ht="15.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ht="15.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ht="15.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ht="15.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ht="15.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ht="15.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ht="15.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ht="15.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ht="15.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ht="15.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ht="15.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ht="15.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ht="15.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ht="15.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ht="15.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ht="15.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ht="15.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ht="15.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ht="15.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ht="15.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ht="15.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ht="15.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ht="15.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ht="15.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ht="15.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ht="15.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ht="15.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ht="15.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ht="15.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ht="15.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ht="15.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ht="15.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ht="15.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ht="15.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ht="15.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ht="15.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ht="15.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ht="15.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ht="15.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ht="15.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ht="15.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ht="15.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ht="15.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ht="15.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ht="15.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ht="15.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ht="15.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ht="15.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ht="15.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ht="15.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ht="15.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ht="15.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ht="15.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ht="15.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ht="15.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ht="15.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ht="15.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ht="15.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ht="15.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ht="15.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ht="15.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ht="15.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ht="15.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ht="15.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ht="15.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ht="15.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ht="15.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ht="15.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ht="15.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ht="15.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ht="15.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ht="15.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ht="15.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ht="15.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ht="15.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ht="15.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ht="15.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ht="15.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ht="15.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ht="15.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ht="15.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ht="15.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ht="15.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ht="15.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ht="15.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ht="15.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ht="15.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ht="15.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ht="15.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ht="15.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ht="15.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ht="15.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ht="15.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ht="15.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ht="15.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ht="15.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ht="15.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ht="15.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ht="15.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ht="15.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ht="15.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ht="15.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ht="15.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ht="15.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ht="15.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ht="15.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ht="15.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ht="15.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ht="15.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ht="15.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ht="15.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ht="15.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ht="15.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ht="15.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ht="15.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ht="15.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ht="15.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ht="15.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ht="15.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ht="15.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ht="15.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ht="15.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ht="15.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ht="15.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ht="15.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ht="15.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ht="15.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ht="15.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ht="15.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ht="15.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ht="15.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ht="15.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ht="15.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ht="15.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ht="15.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ht="15.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ht="15.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ht="15.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ht="15.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ht="15.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ht="15.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ht="15.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ht="15.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ht="15.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ht="15.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ht="15.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ht="15.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ht="15.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ht="15.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ht="15.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ht="15.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ht="15.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ht="15.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ht="15.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ht="15.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ht="15.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ht="15.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ht="15.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ht="15.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ht="15.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ht="15.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ht="15.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ht="15.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ht="15.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ht="15.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ht="15.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ht="15.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ht="15.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ht="15.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ht="15.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ht="15.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ht="15.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ht="15.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ht="15.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ht="15.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ht="15.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ht="15.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ht="15.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ht="15.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ht="15.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ht="15.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ht="15.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ht="15.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ht="15.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ht="15.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ht="15.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ht="15.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ht="15.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ht="15.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ht="15.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ht="15.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ht="15.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ht="15.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ht="15.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ht="15.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ht="15.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ht="15.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ht="15.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ht="15.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ht="15.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ht="15.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ht="15.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ht="15.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ht="15.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ht="15.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ht="15.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ht="15.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ht="15.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ht="15.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ht="15.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ht="15.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ht="15.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ht="15.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ht="15.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ht="15.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ht="15.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ht="15.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ht="15.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ht="15.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ht="15.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ht="15.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ht="15.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ht="15.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ht="15.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ht="15.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ht="15.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ht="15.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ht="15.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ht="15.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ht="15.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ht="15.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ht="15.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ht="15.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ht="15.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ht="15.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ht="15.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ht="15.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ht="15.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ht="15.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ht="15.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ht="15.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ht="15.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ht="15.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ht="15.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ht="15.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ht="15.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ht="15.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ht="15.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ht="15.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ht="15.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ht="15.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ht="15.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ht="15.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ht="15.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ht="15.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ht="15.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ht="15.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ht="15.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ht="15.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ht="15.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ht="15.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ht="15.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ht="15.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ht="15.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ht="15.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ht="15.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ht="15.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ht="15.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ht="15.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ht="15.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ht="15.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ht="15.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ht="15.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ht="15.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ht="15.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ht="15.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ht="15.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ht="15.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ht="15.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ht="15.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ht="15.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ht="15.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ht="15.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ht="15.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ht="15.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ht="15.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ht="15.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ht="15.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ht="15.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ht="15.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ht="15.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ht="15.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ht="15.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ht="15.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ht="15.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ht="15.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ht="15.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ht="15.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ht="15.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ht="15.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ht="15.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ht="15.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ht="15.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ht="15.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ht="15.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ht="15.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ht="15.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ht="15.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ht="15.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ht="15.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ht="15.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ht="15.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ht="15.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ht="15.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ht="15.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ht="15.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ht="15.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ht="15.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ht="15.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ht="15.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ht="15.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ht="15.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ht="15.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ht="15.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ht="15.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ht="15.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ht="15.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ht="15.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ht="15.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ht="15.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ht="15.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ht="15.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ht="15.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ht="15.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ht="15.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ht="15.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ht="15.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ht="15.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ht="15.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ht="15.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ht="15.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ht="15.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ht="15.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ht="15.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ht="15.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ht="15.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ht="15.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ht="15.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ht="15.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ht="15.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ht="15.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ht="15.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ht="15.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ht="15.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ht="15.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ht="15.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ht="15.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ht="15.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ht="15.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ht="15.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ht="15.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ht="15.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ht="15.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ht="15.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ht="15.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ht="15.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ht="15.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ht="15.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ht="15.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ht="15.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ht="15.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ht="15.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ht="15.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ht="15.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ht="15.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ht="15.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ht="15.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ht="15.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ht="15.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ht="15.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ht="15.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ht="15.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ht="15.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ht="15.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ht="15.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ht="15.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ht="15.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ht="15.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ht="15.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ht="15.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ht="15.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ht="15.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ht="15.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ht="15.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ht="15.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ht="15.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ht="15.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ht="15.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ht="15.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ht="15.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ht="15.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ht="15.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ht="15.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ht="15.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ht="15.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ht="15.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ht="15.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ht="15.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ht="15.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ht="15.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ht="15.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ht="15.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ht="15.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ht="15.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ht="15.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ht="15.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ht="15.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ht="15.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ht="15.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ht="15.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ht="15.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ht="15.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ht="15.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ht="15.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ht="15.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ht="15.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ht="15.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ht="15.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ht="15.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ht="15.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ht="15.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ht="15.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ht="15.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ht="15.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ht="15.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ht="15.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ht="15.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ht="15.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ht="15.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ht="15.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ht="15.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ht="15.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ht="15.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ht="15.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ht="15.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ht="15.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ht="15.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ht="15.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ht="15.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ht="15.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ht="15.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ht="15.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ht="15.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ht="15.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ht="15.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ht="15.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ht="15.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ht="15.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ht="15.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ht="15.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ht="15.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ht="15.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ht="15.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ht="15.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ht="15.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ht="15.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ht="15.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ht="15.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ht="15.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ht="15.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ht="15.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ht="15.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ht="15.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ht="15.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ht="15.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ht="15.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ht="15.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ht="15.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ht="15.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ht="15.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ht="15.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ht="15.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ht="15.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ht="15.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ht="15.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ht="15.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ht="15.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ht="15.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ht="15.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ht="15.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ht="15.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ht="15.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ht="15.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ht="15.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ht="15.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ht="15.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ht="15.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ht="15.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ht="15.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ht="15.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ht="15.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ht="15.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ht="15.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ht="15.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ht="15.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ht="15.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ht="15.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ht="15.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ht="15.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ht="15.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ht="15.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ht="15.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ht="15.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ht="15.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ht="15.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ht="15.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ht="15.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ht="15.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ht="15.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ht="15.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ht="15.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ht="15.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ht="15.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ht="15.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ht="15.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ht="15.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ht="15.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ht="15.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ht="15.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ht="15.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ht="15.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ht="15.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ht="15.75" customHeight="1">
      <c r="A973" s="18"/>
      <c r="B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ht="15.75" customHeight="1">
      <c r="A974" s="18"/>
      <c r="B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ht="15.75" customHeight="1">
      <c r="A975" s="18"/>
      <c r="B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ht="15.75" customHeight="1">
      <c r="A976" s="18"/>
      <c r="B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ht="15.75" customHeight="1">
      <c r="A977" s="18"/>
      <c r="B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ht="15.75" customHeight="1">
      <c r="A978" s="18"/>
      <c r="B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ht="15.75" customHeight="1">
      <c r="A979" s="18"/>
      <c r="B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ht="15.75" customHeight="1">
      <c r="A980" s="18"/>
      <c r="B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ht="15.75" customHeight="1">
      <c r="A981" s="18"/>
      <c r="B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ht="15.75" customHeight="1">
      <c r="A982" s="18"/>
      <c r="B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ht="15.75" customHeight="1">
      <c r="A983" s="18"/>
      <c r="B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ht="15.75" customHeight="1">
      <c r="A984" s="18"/>
      <c r="B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ht="15.75" customHeight="1">
      <c r="A985" s="18"/>
      <c r="B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ht="15.75" customHeight="1">
      <c r="A986" s="18"/>
      <c r="B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ht="15.75" customHeight="1">
      <c r="A987" s="18"/>
      <c r="B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ht="15.75" customHeight="1">
      <c r="A988" s="18"/>
      <c r="B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ht="15.75" customHeight="1">
      <c r="A989" s="18"/>
      <c r="B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ht="15.75" customHeight="1">
      <c r="A990" s="18"/>
      <c r="B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ht="15.75" customHeight="1">
      <c r="A991" s="18"/>
      <c r="B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ht="15.75" customHeight="1">
      <c r="A992" s="18"/>
      <c r="B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ht="15.75" customHeight="1">
      <c r="A993" s="18"/>
      <c r="B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ht="15.75" customHeight="1">
      <c r="A994" s="18"/>
      <c r="B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ht="15.75" customHeight="1">
      <c r="A995" s="18"/>
      <c r="B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ht="15.75" customHeight="1">
      <c r="A996" s="18"/>
      <c r="B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ht="15.75" customHeight="1">
      <c r="A997" s="18"/>
      <c r="B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ht="15.75" customHeight="1">
      <c r="A998" s="18"/>
      <c r="B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ht="15.75" customHeight="1">
      <c r="A999" s="18"/>
      <c r="B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ht="15.75" customHeight="1">
      <c r="A1000" s="18"/>
      <c r="B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hyperlinks>
    <hyperlink r:id="rId1" ref="I2"/>
    <hyperlink r:id="rId2" ref="J2"/>
    <hyperlink r:id="rId3" ref="I3"/>
    <hyperlink r:id="rId4" ref="J3"/>
    <hyperlink r:id="rId5" ref="I4"/>
    <hyperlink r:id="rId6" ref="J4"/>
    <hyperlink r:id="rId7" ref="I5"/>
    <hyperlink r:id="rId8" ref="J5"/>
    <hyperlink r:id="rId9" ref="I6"/>
    <hyperlink r:id="rId10" ref="J6"/>
    <hyperlink r:id="rId11" ref="I7"/>
    <hyperlink r:id="rId12" ref="J7"/>
    <hyperlink r:id="rId13" ref="I8"/>
    <hyperlink r:id="rId14" ref="J8"/>
    <hyperlink r:id="rId15" ref="I9"/>
    <hyperlink r:id="rId16" ref="J9"/>
    <hyperlink r:id="rId17" ref="I10"/>
    <hyperlink r:id="rId18" ref="J10"/>
    <hyperlink r:id="rId19" ref="I11"/>
    <hyperlink r:id="rId20" ref="J11"/>
    <hyperlink r:id="rId21" ref="I12"/>
    <hyperlink r:id="rId22" ref="J12"/>
    <hyperlink r:id="rId23" ref="I13"/>
    <hyperlink r:id="rId24" ref="J13"/>
    <hyperlink r:id="rId25" ref="I14"/>
    <hyperlink r:id="rId26" ref="J14"/>
    <hyperlink r:id="rId27" ref="I15"/>
    <hyperlink r:id="rId28" ref="J15"/>
    <hyperlink r:id="rId29" ref="I16"/>
    <hyperlink r:id="rId30" ref="J16"/>
    <hyperlink r:id="rId31" ref="I17"/>
    <hyperlink r:id="rId32" ref="J17"/>
    <hyperlink r:id="rId33" ref="I18"/>
    <hyperlink r:id="rId34" ref="J18"/>
    <hyperlink r:id="rId35" ref="I19"/>
    <hyperlink r:id="rId36" ref="J19"/>
    <hyperlink r:id="rId37" ref="I20"/>
    <hyperlink r:id="rId38" ref="J20"/>
    <hyperlink r:id="rId39" ref="I21"/>
    <hyperlink r:id="rId40" ref="J21"/>
    <hyperlink r:id="rId41" ref="I22"/>
    <hyperlink r:id="rId42" ref="J22"/>
    <hyperlink r:id="rId43" ref="I23"/>
    <hyperlink r:id="rId44" ref="J23"/>
    <hyperlink r:id="rId45" ref="I24"/>
    <hyperlink r:id="rId46" ref="J24"/>
    <hyperlink r:id="rId47" ref="I25"/>
    <hyperlink r:id="rId48" ref="J25"/>
    <hyperlink r:id="rId49" ref="I26"/>
    <hyperlink r:id="rId50" ref="J26"/>
    <hyperlink r:id="rId51" ref="I27"/>
    <hyperlink r:id="rId52" ref="J27"/>
    <hyperlink r:id="rId53" ref="I28"/>
    <hyperlink r:id="rId54" ref="J28"/>
    <hyperlink r:id="rId55" ref="I29"/>
    <hyperlink r:id="rId56" ref="J29"/>
    <hyperlink r:id="rId57" ref="I30"/>
    <hyperlink r:id="rId58" ref="J30"/>
    <hyperlink r:id="rId59" ref="I31"/>
    <hyperlink r:id="rId60" ref="J31"/>
    <hyperlink r:id="rId61" ref="I32"/>
    <hyperlink r:id="rId62" ref="J32"/>
    <hyperlink r:id="rId63" ref="I33"/>
    <hyperlink r:id="rId64" ref="J33"/>
    <hyperlink r:id="rId65" ref="I34"/>
    <hyperlink r:id="rId66" ref="J34"/>
    <hyperlink r:id="rId67" ref="I35"/>
    <hyperlink r:id="rId68" ref="J35"/>
    <hyperlink r:id="rId69" ref="I36"/>
    <hyperlink r:id="rId70" ref="J36"/>
    <hyperlink r:id="rId71" ref="I37"/>
    <hyperlink r:id="rId72" ref="J37"/>
    <hyperlink r:id="rId73" ref="I38"/>
    <hyperlink r:id="rId74" ref="J38"/>
    <hyperlink r:id="rId75" ref="I39"/>
    <hyperlink r:id="rId76" ref="J39"/>
    <hyperlink r:id="rId77" ref="I40"/>
    <hyperlink r:id="rId78" ref="J40"/>
    <hyperlink r:id="rId79" ref="I41"/>
    <hyperlink r:id="rId80" ref="J41"/>
    <hyperlink r:id="rId81" ref="I42"/>
    <hyperlink r:id="rId82" ref="J42"/>
    <hyperlink r:id="rId83" ref="I43"/>
    <hyperlink r:id="rId84" ref="J43"/>
    <hyperlink r:id="rId85" ref="I44"/>
    <hyperlink r:id="rId86" ref="J44"/>
    <hyperlink r:id="rId87" ref="I45"/>
    <hyperlink r:id="rId88" ref="J45"/>
    <hyperlink r:id="rId89" ref="I46"/>
    <hyperlink r:id="rId90" ref="J46"/>
    <hyperlink r:id="rId91" ref="I47"/>
    <hyperlink r:id="rId92" ref="J47"/>
    <hyperlink r:id="rId93" ref="I48"/>
    <hyperlink r:id="rId94" ref="J48"/>
    <hyperlink r:id="rId95" ref="I49"/>
    <hyperlink r:id="rId96" ref="J49"/>
    <hyperlink r:id="rId97" ref="I50"/>
    <hyperlink r:id="rId98" ref="J50"/>
    <hyperlink r:id="rId99" ref="I51"/>
    <hyperlink r:id="rId100" ref="J51"/>
    <hyperlink r:id="rId101" ref="I52"/>
    <hyperlink r:id="rId102" ref="J52"/>
    <hyperlink r:id="rId103" ref="I53"/>
    <hyperlink r:id="rId104" ref="J53"/>
    <hyperlink r:id="rId105" ref="I54"/>
    <hyperlink r:id="rId106" ref="J54"/>
    <hyperlink r:id="rId107" ref="I55"/>
    <hyperlink r:id="rId108" ref="J55"/>
    <hyperlink r:id="rId109" ref="I56"/>
    <hyperlink r:id="rId110" ref="J56"/>
    <hyperlink r:id="rId111" ref="I57"/>
    <hyperlink r:id="rId112" ref="J57"/>
    <hyperlink r:id="rId113" ref="I58"/>
    <hyperlink r:id="rId114" ref="J58"/>
    <hyperlink r:id="rId115" ref="I59"/>
    <hyperlink r:id="rId116" ref="J59"/>
    <hyperlink r:id="rId117" ref="I60"/>
    <hyperlink r:id="rId118" ref="J60"/>
    <hyperlink r:id="rId119" ref="I61"/>
    <hyperlink r:id="rId120" ref="J61"/>
    <hyperlink r:id="rId121" ref="I62"/>
    <hyperlink r:id="rId122" ref="J62"/>
    <hyperlink r:id="rId123" ref="I63"/>
    <hyperlink r:id="rId124" ref="J63"/>
    <hyperlink r:id="rId125" ref="I64"/>
    <hyperlink r:id="rId126" ref="J64"/>
    <hyperlink r:id="rId127" ref="I65"/>
    <hyperlink r:id="rId128" ref="J65"/>
    <hyperlink r:id="rId129" ref="I66"/>
    <hyperlink r:id="rId130" ref="J66"/>
    <hyperlink r:id="rId131" ref="I67"/>
    <hyperlink r:id="rId132" ref="J67"/>
    <hyperlink r:id="rId133" ref="I68"/>
    <hyperlink r:id="rId134" ref="J68"/>
    <hyperlink r:id="rId135" ref="I69"/>
    <hyperlink r:id="rId136" ref="J69"/>
    <hyperlink r:id="rId137" ref="I70"/>
    <hyperlink r:id="rId138" ref="J70"/>
    <hyperlink r:id="rId139" ref="I71"/>
    <hyperlink r:id="rId140" ref="J71"/>
    <hyperlink r:id="rId141" ref="I72"/>
    <hyperlink r:id="rId142" ref="J72"/>
    <hyperlink r:id="rId143" ref="I73"/>
    <hyperlink r:id="rId144" ref="J73"/>
    <hyperlink r:id="rId145" ref="I74"/>
    <hyperlink r:id="rId146" ref="J74"/>
    <hyperlink r:id="rId147" ref="I75"/>
    <hyperlink r:id="rId148" ref="J75"/>
    <hyperlink r:id="rId149" ref="I76"/>
    <hyperlink r:id="rId150" ref="J76"/>
    <hyperlink r:id="rId151" ref="I77"/>
    <hyperlink r:id="rId152" ref="J77"/>
    <hyperlink r:id="rId153" ref="I78"/>
    <hyperlink r:id="rId154" ref="J78"/>
    <hyperlink r:id="rId155" ref="I79"/>
    <hyperlink r:id="rId156" ref="J79"/>
    <hyperlink r:id="rId157" ref="I80"/>
    <hyperlink r:id="rId158" ref="J80"/>
    <hyperlink r:id="rId159" ref="I81"/>
    <hyperlink r:id="rId160" ref="J81"/>
    <hyperlink r:id="rId161" ref="I82"/>
    <hyperlink r:id="rId162" ref="J82"/>
    <hyperlink r:id="rId163" ref="I83"/>
    <hyperlink r:id="rId164" ref="J83"/>
    <hyperlink r:id="rId165" ref="I84"/>
    <hyperlink r:id="rId166" ref="J84"/>
    <hyperlink r:id="rId167" ref="I85"/>
    <hyperlink r:id="rId168" ref="J85"/>
    <hyperlink r:id="rId169" ref="I86"/>
    <hyperlink r:id="rId170" ref="J86"/>
    <hyperlink r:id="rId171" ref="I87"/>
    <hyperlink r:id="rId172" ref="J87"/>
    <hyperlink r:id="rId173" ref="I88"/>
    <hyperlink r:id="rId174" ref="J88"/>
    <hyperlink r:id="rId175" ref="I89"/>
    <hyperlink r:id="rId176" ref="J89"/>
    <hyperlink r:id="rId177" ref="I90"/>
    <hyperlink r:id="rId178" ref="J90"/>
    <hyperlink r:id="rId179" ref="I91"/>
    <hyperlink r:id="rId180" ref="J91"/>
    <hyperlink r:id="rId181" ref="I92"/>
    <hyperlink r:id="rId182" ref="J92"/>
    <hyperlink r:id="rId183" ref="I93"/>
    <hyperlink r:id="rId184" ref="J93"/>
    <hyperlink r:id="rId185" ref="I94"/>
    <hyperlink r:id="rId186" ref="J94"/>
    <hyperlink r:id="rId187" ref="I95"/>
    <hyperlink r:id="rId188" ref="J95"/>
    <hyperlink r:id="rId189" ref="I96"/>
    <hyperlink r:id="rId190" ref="J96"/>
    <hyperlink r:id="rId191" ref="I97"/>
    <hyperlink r:id="rId192" ref="J97"/>
    <hyperlink r:id="rId193" ref="I98"/>
    <hyperlink r:id="rId194" ref="J98"/>
    <hyperlink r:id="rId195" ref="I99"/>
    <hyperlink r:id="rId196" ref="J99"/>
    <hyperlink r:id="rId197" ref="I100"/>
    <hyperlink r:id="rId198" ref="J100"/>
    <hyperlink r:id="rId199" ref="I101"/>
    <hyperlink r:id="rId200" ref="J101"/>
    <hyperlink r:id="rId201" ref="I102"/>
    <hyperlink r:id="rId202" ref="J102"/>
    <hyperlink r:id="rId203" ref="I103"/>
    <hyperlink r:id="rId204" ref="J103"/>
    <hyperlink r:id="rId205" ref="I104"/>
    <hyperlink r:id="rId206" ref="J104"/>
    <hyperlink r:id="rId207" ref="I105"/>
    <hyperlink r:id="rId208" ref="J105"/>
    <hyperlink r:id="rId209" ref="I106"/>
    <hyperlink r:id="rId210" ref="J106"/>
    <hyperlink r:id="rId211" ref="I107"/>
    <hyperlink r:id="rId212" ref="J107"/>
    <hyperlink r:id="rId213" ref="I108"/>
    <hyperlink r:id="rId214" ref="J108"/>
    <hyperlink r:id="rId215" ref="I109"/>
    <hyperlink r:id="rId216" ref="J109"/>
    <hyperlink r:id="rId217" ref="I110"/>
    <hyperlink r:id="rId218" ref="J110"/>
    <hyperlink r:id="rId219" ref="I111"/>
    <hyperlink r:id="rId220" ref="J111"/>
    <hyperlink r:id="rId221" ref="I112"/>
    <hyperlink r:id="rId222" ref="J112"/>
    <hyperlink r:id="rId223" ref="I113"/>
    <hyperlink r:id="rId224" ref="J113"/>
    <hyperlink r:id="rId225" ref="I114"/>
    <hyperlink r:id="rId226" ref="J114"/>
    <hyperlink r:id="rId227" ref="I115"/>
    <hyperlink r:id="rId228" ref="J115"/>
    <hyperlink r:id="rId229" ref="I116"/>
    <hyperlink r:id="rId230" ref="J116"/>
    <hyperlink r:id="rId231" ref="I117"/>
    <hyperlink r:id="rId232" ref="J117"/>
    <hyperlink r:id="rId233" ref="I118"/>
    <hyperlink r:id="rId234" ref="J118"/>
    <hyperlink r:id="rId235" ref="I119"/>
    <hyperlink r:id="rId236" ref="J119"/>
    <hyperlink r:id="rId237" ref="I120"/>
    <hyperlink r:id="rId238" ref="J120"/>
    <hyperlink r:id="rId239" ref="I121"/>
    <hyperlink r:id="rId240" ref="J121"/>
    <hyperlink r:id="rId241" ref="I122"/>
    <hyperlink r:id="rId242" ref="J122"/>
    <hyperlink r:id="rId243" ref="I123"/>
    <hyperlink r:id="rId244" ref="J123"/>
    <hyperlink r:id="rId245" ref="I124"/>
    <hyperlink r:id="rId246" ref="J124"/>
    <hyperlink r:id="rId247" ref="I125"/>
    <hyperlink r:id="rId248" ref="J125"/>
    <hyperlink r:id="rId249" ref="I126"/>
    <hyperlink r:id="rId250" ref="J126"/>
    <hyperlink r:id="rId251" ref="I127"/>
    <hyperlink r:id="rId252" ref="J127"/>
    <hyperlink r:id="rId253" ref="I128"/>
    <hyperlink r:id="rId254" ref="J128"/>
    <hyperlink r:id="rId255" ref="I129"/>
    <hyperlink r:id="rId256" ref="J129"/>
    <hyperlink r:id="rId257" ref="I130"/>
    <hyperlink r:id="rId258" ref="J130"/>
    <hyperlink r:id="rId259" ref="I131"/>
    <hyperlink r:id="rId260" ref="J131"/>
    <hyperlink r:id="rId261" ref="I132"/>
    <hyperlink r:id="rId262" ref="J132"/>
    <hyperlink r:id="rId263" ref="I133"/>
    <hyperlink r:id="rId264" ref="J133"/>
    <hyperlink r:id="rId265" ref="I134"/>
    <hyperlink r:id="rId266" ref="J134"/>
    <hyperlink r:id="rId267" ref="I135"/>
    <hyperlink r:id="rId268" ref="J135"/>
    <hyperlink r:id="rId269" ref="I136"/>
    <hyperlink r:id="rId270" ref="J136"/>
    <hyperlink r:id="rId271" ref="I137"/>
    <hyperlink r:id="rId272" ref="J137"/>
    <hyperlink r:id="rId273" ref="I138"/>
    <hyperlink r:id="rId274" ref="J138"/>
    <hyperlink r:id="rId275" ref="I139"/>
    <hyperlink r:id="rId276" ref="J139"/>
    <hyperlink r:id="rId277" ref="I140"/>
    <hyperlink r:id="rId278" ref="J140"/>
    <hyperlink r:id="rId279" ref="I141"/>
    <hyperlink r:id="rId280" ref="J141"/>
    <hyperlink r:id="rId281" ref="I142"/>
    <hyperlink r:id="rId282" ref="J142"/>
    <hyperlink r:id="rId283" ref="I143"/>
    <hyperlink r:id="rId284" ref="J143"/>
    <hyperlink r:id="rId285" ref="I144"/>
    <hyperlink r:id="rId286" ref="J144"/>
    <hyperlink r:id="rId287" ref="I145"/>
    <hyperlink r:id="rId288" ref="J145"/>
    <hyperlink r:id="rId289" ref="I146"/>
    <hyperlink r:id="rId290" ref="J146"/>
    <hyperlink r:id="rId291" ref="I147"/>
    <hyperlink r:id="rId292" ref="J147"/>
    <hyperlink r:id="rId293" ref="I148"/>
    <hyperlink r:id="rId294" ref="J148"/>
    <hyperlink r:id="rId295" ref="I149"/>
    <hyperlink r:id="rId296" ref="J149"/>
    <hyperlink r:id="rId297" ref="I150"/>
    <hyperlink r:id="rId298" ref="J150"/>
    <hyperlink r:id="rId299" ref="I151"/>
    <hyperlink r:id="rId300" ref="J151"/>
    <hyperlink r:id="rId301" ref="I152"/>
    <hyperlink r:id="rId302" ref="J152"/>
    <hyperlink r:id="rId303" ref="I153"/>
    <hyperlink r:id="rId304" ref="J153"/>
    <hyperlink r:id="rId305" ref="I154"/>
    <hyperlink r:id="rId306" ref="J154"/>
    <hyperlink r:id="rId307" ref="I155"/>
    <hyperlink r:id="rId308" ref="J155"/>
    <hyperlink r:id="rId309" ref="I156"/>
    <hyperlink r:id="rId310" ref="J156"/>
    <hyperlink r:id="rId311" ref="I157"/>
    <hyperlink r:id="rId312" ref="J157"/>
    <hyperlink r:id="rId313" ref="I158"/>
    <hyperlink r:id="rId314" ref="J158"/>
    <hyperlink r:id="rId315" ref="I159"/>
    <hyperlink r:id="rId316" ref="J159"/>
    <hyperlink r:id="rId317" ref="I160"/>
    <hyperlink r:id="rId318" ref="J160"/>
    <hyperlink r:id="rId319" ref="I161"/>
    <hyperlink r:id="rId320" ref="J161"/>
    <hyperlink r:id="rId321" ref="I162"/>
    <hyperlink r:id="rId322" ref="J162"/>
    <hyperlink r:id="rId323" ref="I163"/>
    <hyperlink r:id="rId324" ref="J163"/>
    <hyperlink r:id="rId325" ref="I164"/>
    <hyperlink r:id="rId326" ref="J164"/>
    <hyperlink r:id="rId327" ref="I165"/>
    <hyperlink r:id="rId328" ref="J165"/>
    <hyperlink r:id="rId329" ref="I166"/>
    <hyperlink r:id="rId330" ref="J166"/>
    <hyperlink r:id="rId331" ref="I167"/>
    <hyperlink r:id="rId332" ref="J167"/>
    <hyperlink r:id="rId333" ref="I168"/>
    <hyperlink r:id="rId334" ref="J168"/>
    <hyperlink r:id="rId335" ref="I169"/>
    <hyperlink r:id="rId336" ref="J169"/>
    <hyperlink r:id="rId337" ref="I170"/>
    <hyperlink r:id="rId338" ref="J170"/>
    <hyperlink r:id="rId339" ref="I171"/>
    <hyperlink r:id="rId340" ref="J171"/>
    <hyperlink r:id="rId341" ref="I172"/>
    <hyperlink r:id="rId342" ref="J172"/>
    <hyperlink r:id="rId343" ref="I173"/>
    <hyperlink r:id="rId344" ref="J173"/>
    <hyperlink r:id="rId345" ref="I174"/>
    <hyperlink r:id="rId346" ref="J174"/>
    <hyperlink r:id="rId347" ref="I175"/>
    <hyperlink r:id="rId348" ref="J175"/>
    <hyperlink r:id="rId349" ref="I176"/>
    <hyperlink r:id="rId350" ref="J176"/>
    <hyperlink r:id="rId351" ref="I177"/>
    <hyperlink r:id="rId352" ref="J177"/>
    <hyperlink r:id="rId353" ref="I178"/>
    <hyperlink r:id="rId354" ref="J178"/>
    <hyperlink r:id="rId355" ref="I179"/>
    <hyperlink r:id="rId356" ref="J179"/>
    <hyperlink r:id="rId357" ref="I180"/>
    <hyperlink r:id="rId358" ref="J180"/>
    <hyperlink r:id="rId359" ref="I181"/>
    <hyperlink r:id="rId360" ref="J181"/>
    <hyperlink r:id="rId361" ref="I182"/>
    <hyperlink r:id="rId362" ref="J182"/>
    <hyperlink r:id="rId363" ref="I183"/>
    <hyperlink r:id="rId364" ref="J183"/>
    <hyperlink r:id="rId365" ref="I184"/>
    <hyperlink r:id="rId366" ref="J184"/>
    <hyperlink r:id="rId367" ref="I185"/>
    <hyperlink r:id="rId368" ref="J185"/>
    <hyperlink r:id="rId369" ref="I186"/>
    <hyperlink r:id="rId370" ref="J186"/>
    <hyperlink r:id="rId371" ref="I187"/>
    <hyperlink r:id="rId372" ref="J187"/>
    <hyperlink r:id="rId373" ref="I188"/>
    <hyperlink r:id="rId374" ref="J188"/>
    <hyperlink r:id="rId375" ref="I189"/>
    <hyperlink r:id="rId376" ref="J189"/>
    <hyperlink r:id="rId377" ref="I190"/>
    <hyperlink r:id="rId378" ref="J190"/>
    <hyperlink r:id="rId379" ref="I191"/>
    <hyperlink r:id="rId380" ref="J191"/>
    <hyperlink r:id="rId381" ref="I192"/>
    <hyperlink r:id="rId382" ref="J192"/>
    <hyperlink r:id="rId383" ref="I193"/>
    <hyperlink r:id="rId384" ref="J193"/>
    <hyperlink r:id="rId385" ref="I194"/>
    <hyperlink r:id="rId386" ref="J194"/>
    <hyperlink r:id="rId387" ref="I195"/>
    <hyperlink r:id="rId388" ref="J195"/>
    <hyperlink r:id="rId389" ref="I196"/>
    <hyperlink r:id="rId390" ref="J196"/>
    <hyperlink r:id="rId391" ref="I197"/>
    <hyperlink r:id="rId392" ref="J197"/>
    <hyperlink r:id="rId393" ref="I198"/>
    <hyperlink r:id="rId394" ref="J198"/>
    <hyperlink r:id="rId395" ref="I199"/>
    <hyperlink r:id="rId396" ref="J199"/>
    <hyperlink r:id="rId397" ref="I200"/>
    <hyperlink r:id="rId398" ref="J200"/>
    <hyperlink r:id="rId399" ref="I201"/>
    <hyperlink r:id="rId400" ref="J201"/>
    <hyperlink r:id="rId401" ref="I202"/>
    <hyperlink r:id="rId402" ref="J202"/>
  </hyperlinks>
  <drawing r:id="rId403"/>
  <tableParts count="5">
    <tablePart r:id="rId409"/>
    <tablePart r:id="rId410"/>
    <tablePart r:id="rId411"/>
    <tablePart r:id="rId412"/>
    <tablePart r:id="rId413"/>
  </tableParts>
</worksheet>
</file>